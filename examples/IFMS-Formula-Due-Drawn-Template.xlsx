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Monthly inputs" sheetId="2" state="visible" r:id="rId2"/>
    <sheet name="Due drawn statement" sheetId="3" state="visible" r:id="rId3"/>
    <sheet name="Guide" sheetId="4" state="visible" r:id="rId4"/>
  </sheets>
  <definedNames>
    <definedName name="_xlnm._FilterDatabase" localSheetId="1" hidden="1">'Monthly inputs'!$A$5:$AQ$17</definedName>
    <definedName name="_xlnm.Print_Titles" localSheetId="2">'Due drawn statement'!$1:$5</definedName>
    <definedName name="_xlnm.Print_Area" localSheetId="2">'Due drawn statement'!$A$1:$AA$26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##;-0.##;&quot;-&quot;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14"/>
    </font>
    <font>
      <name val="Arial"/>
      <sz val="7"/>
    </font>
    <font>
      <name val="Arial"/>
      <sz val="9"/>
    </font>
    <font>
      <sz val="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F2FF"/>
      </patternFill>
    </fill>
    <fill>
      <patternFill patternType="solid">
        <fgColor rgb="0017626C"/>
      </patternFill>
    </fill>
  </fills>
  <borders count="9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0" fillId="2" borderId="0" pivotButton="0" quotePrefix="0" xfId="0"/>
    <xf numFmtId="0" fontId="6" fillId="3" borderId="0" applyAlignment="1" pivotButton="0" quotePrefix="0" xfId="0">
      <alignment wrapText="1"/>
    </xf>
    <xf numFmtId="0" fontId="0" fillId="2" borderId="0" applyAlignment="1" pivotButton="0" quotePrefix="0" xfId="0">
      <alignment vertical="top" wrapText="1"/>
    </xf>
    <xf numFmtId="165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DD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IFMS</author>
  </authors>
  <commentList>
    <comment ref="A5" authorId="0" shapeId="0">
      <text>
        <t>Month (YYYY-MM)</t>
      </text>
    </comment>
    <comment ref="B5" authorId="0" shapeId="0">
      <text>
        <t>Effective from</t>
      </text>
    </comment>
    <comment ref="C5" authorId="0" shapeId="0">
      <text>
        <t>Through (inclusive)</t>
      </text>
    </comment>
    <comment ref="D5" authorId="0" shapeId="0">
      <text>
        <t>Presentation: period / whole_month</t>
      </text>
    </comment>
    <comment ref="E5" authorId="0" shapeId="0">
      <text>
        <t>Drawn BASIC</t>
      </text>
    </comment>
    <comment ref="F5" authorId="0" shapeId="0">
      <text>
        <t>Drawn DA</t>
      </text>
    </comment>
    <comment ref="G5" authorId="0" shapeId="0">
      <text>
        <t>Drawn HRA</t>
      </text>
    </comment>
    <comment ref="H5" authorId="0" shapeId="0">
      <text>
        <t>Drawn HDA</t>
      </text>
    </comment>
    <comment ref="I5" authorId="0" shapeId="0">
      <text>
        <t>Drawn CCA</t>
      </text>
    </comment>
    <comment ref="J5" authorId="0" shapeId="0">
      <text>
        <t>Revised monthly basic</t>
      </text>
    </comment>
    <comment ref="K5" authorId="0" shapeId="0">
      <text>
        <t>DA %</t>
      </text>
    </comment>
    <comment ref="L5" authorId="0" shapeId="0">
      <text>
        <t>HRA %</t>
      </text>
    </comment>
    <comment ref="M5" authorId="0" shapeId="0">
      <text>
        <t>HDA divisor: (Basic + DA) / divisor</t>
      </text>
    </comment>
    <comment ref="N5" authorId="0" shapeId="0">
      <text>
        <t>Manual monthly due BASIC</t>
      </text>
    </comment>
    <comment ref="O5" authorId="0" shapeId="0">
      <text>
        <t>Manual monthly due DA</t>
      </text>
    </comment>
    <comment ref="P5" authorId="0" shapeId="0">
      <text>
        <t>Manual monthly due HRA</t>
      </text>
    </comment>
    <comment ref="Q5" authorId="0" shapeId="0">
      <text>
        <t>Manual monthly due HDA</t>
      </text>
    </comment>
    <comment ref="R5" authorId="0" shapeId="0">
      <text>
        <t>Manual monthly due CCA</t>
      </text>
    </comment>
    <comment ref="S5" authorId="0" shapeId="0">
      <text>
        <t>Earlier paid BASIC</t>
      </text>
    </comment>
    <comment ref="T5" authorId="0" shapeId="0">
      <text>
        <t>Earlier paid DA</t>
      </text>
    </comment>
    <comment ref="U5" authorId="0" shapeId="0">
      <text>
        <t>Earlier paid HRA</t>
      </text>
    </comment>
    <comment ref="V5" authorId="0" shapeId="0">
      <text>
        <t>Earlier paid HDA</t>
      </text>
    </comment>
    <comment ref="W5" authorId="0" shapeId="0">
      <text>
        <t>Earlier paid CCA</t>
      </text>
    </comment>
    <comment ref="X5" authorId="0" shapeId="0">
      <text>
        <t>Extra / disclosure GPF</t>
      </text>
    </comment>
    <comment ref="Y5" authorId="0" shapeId="0">
      <text>
        <t>Extra / disclosure SI</t>
      </text>
    </comment>
    <comment ref="Z5" authorId="0" shapeId="0">
      <text>
        <t>Extra / disclosure CM_CORONA</t>
      </text>
    </comment>
    <comment ref="AA5" authorId="0" shapeId="0">
      <text>
        <t>Extra / disclosure I_TAX</t>
      </text>
    </comment>
    <comment ref="AB5" authorId="0" shapeId="0">
      <text>
        <t>Extra / disclosure GPF_TO_DEDUCT</t>
      </text>
    </comment>
    <comment ref="AC5" authorId="0" shapeId="0">
      <text>
        <t>Extra / disclosure GPF_ALREADY_DEDUCTED</t>
      </text>
    </comment>
    <comment ref="AD5" authorId="0" shapeId="0">
      <text>
        <t>Extra / disclosure SIF_ALREADY_DEDUCTED</t>
      </text>
    </comment>
    <comment ref="AE5" authorId="0" shapeId="0">
      <text>
        <t>Salary source reference</t>
      </text>
    </comment>
    <comment ref="AF5" authorId="0" shapeId="0">
      <text>
        <t>Entitlement / rate / HDA authority</t>
      </text>
    </comment>
    <comment ref="AG5" authorId="0" shapeId="0">
      <text>
        <t>Earlier payment check / allocation reference</t>
      </text>
    </comment>
    <comment ref="AH5" authorId="0" shapeId="0">
      <text>
        <t>Additional deduction authority / none</t>
      </text>
    </comment>
    <comment ref="AI5" authorId="0" shapeId="0">
      <text>
        <t>Earlier payments checked: Yes / No</t>
      </text>
    </comment>
    <comment ref="AJ5" authorId="0" shapeId="0">
      <text>
        <t>Extra deductions checked: Yes / No</t>
      </text>
    </comment>
    <comment ref="AK5" authorId="0" shapeId="0">
      <text>
        <t>Bill number</t>
      </text>
    </comment>
    <comment ref="AL5" authorId="0" shapeId="0">
      <text>
        <t>Bill date</t>
      </text>
    </comment>
    <comment ref="AM5" authorId="0" shapeId="0">
      <text>
        <t>TV number</t>
      </text>
    </comment>
    <comment ref="AN5" authorId="0" shapeId="0">
      <text>
        <t>TV date</t>
      </text>
    </comment>
    <comment ref="AO5" authorId="0" shapeId="0">
      <text>
        <t>Saved ledger ID (do not edit)</t>
      </text>
    </comment>
    <comment ref="AP5" authorId="0" shapeId="0">
      <text>
        <t>Saved ledger fingerprint (do not edit)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4" customWidth="1" min="1" max="1"/>
    <col width="42" customWidth="1" min="2" max="2"/>
  </cols>
  <sheetData>
    <row r="1">
      <c r="A1" t="inlineStr">
        <is>
          <t>IFMS assisted due–drawn workbook</t>
        </is>
      </c>
    </row>
    <row r="2">
      <c r="A2" t="inlineStr">
        <is>
          <t>Template version</t>
        </is>
      </c>
      <c r="B2" t="inlineStr">
        <is>
          <t>ifms-assisted-worksheet-v1</t>
        </is>
      </c>
    </row>
    <row r="3">
      <c r="A3" t="inlineStr">
        <is>
          <t>Employee Name</t>
        </is>
      </c>
      <c r="B3" s="11" t="inlineStr"/>
    </row>
    <row r="4">
      <c r="A4" t="inlineStr">
        <is>
          <t>Employee Code</t>
        </is>
      </c>
      <c r="B4" s="11" t="inlineStr"/>
    </row>
    <row r="5">
      <c r="A5" t="inlineStr">
        <is>
          <t>Kind</t>
        </is>
      </c>
      <c r="B5" s="11" t="inlineStr">
        <is>
          <t>hra</t>
        </is>
      </c>
    </row>
    <row r="6">
      <c r="A6" t="inlineStr">
        <is>
          <t>Rounding</t>
        </is>
      </c>
      <c r="B6" s="11" t="inlineStr">
        <is>
          <t>rupee</t>
        </is>
      </c>
    </row>
    <row r="7">
      <c r="A7" t="inlineStr">
        <is>
          <t>Template Id</t>
        </is>
      </c>
      <c r="B7" s="11" t="inlineStr">
        <is>
          <t>jodhpur_classic</t>
        </is>
      </c>
    </row>
    <row r="8">
      <c r="A8" t="inlineStr">
        <is>
          <t>Include Hda</t>
        </is>
      </c>
      <c r="B8" s="11" t="inlineStr">
        <is>
          <t>No</t>
        </is>
      </c>
    </row>
    <row r="10">
      <c r="A10" t="inlineStr">
        <is>
          <t>Fill blue cells. The supplied statement updates automatically in Excel.</t>
        </is>
      </c>
    </row>
    <row r="11">
      <c r="A11" t="inlineStr">
        <is>
          <t>Return this workbook to the app to recheck its literal inputs and export PDF.</t>
        </is>
      </c>
    </row>
    <row r="12">
      <c r="A12" t="inlineStr">
        <is>
          <t>DRAFT: rates, entitlement and payment history need office verification.</t>
        </is>
      </c>
    </row>
  </sheetData>
  <dataValidations count="4">
    <dataValidation sqref="B5" showDropDown="0" showInputMessage="0" showErrorMessage="1" allowBlank="1" errorTitle="Choose a listed value" error="Select one of the supported choices." type="list">
      <formula1>"hra,da,increment,manual"</formula1>
    </dataValidation>
    <dataValidation sqref="B6" showDropDown="0" showInputMessage="0" showErrorMessage="1" allowBlank="1" errorTitle="Choose a listed value" error="Select one of the supported choices." type="list">
      <formula1>"rupee,paise"</formula1>
    </dataValidation>
    <dataValidation sqref="B7" showDropDown="0" showInputMessage="0" showErrorMessage="1" allowBlank="1" errorTitle="Choose a listed value" error="Select one of the supported choices." type="list">
      <formula1>"jodhpur_classic,jodhpur_gpf_arrear"</formula1>
    </dataValidation>
    <dataValidation sqref="B8" showDropDown="0" showInputMessage="0" showErrorMessage="1" allowBlank="1" errorTitle="Choose a listed value" error="Select one of the supported choices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19" customWidth="1" min="37" max="37"/>
    <col width="19" customWidth="1" min="38" max="38"/>
    <col width="19" customWidth="1" min="39" max="39"/>
    <col width="19" customWidth="1" min="40" max="40"/>
    <col hidden="1" width="19" customWidth="1" min="41" max="41"/>
    <col hidden="1" width="19" customWidth="1" min="42" max="42"/>
    <col width="22" customWidth="1" min="43" max="43"/>
  </cols>
  <sheetData>
    <row r="1">
      <c r="A1" t="inlineStr">
        <is>
          <t>MONTHLY INPUTS — blue cells are editable; blanks are unresolved</t>
        </is>
      </c>
    </row>
    <row r="2">
      <c r="A2" t="inlineStr">
        <is>
          <t>Drawn and due values are full-month amounts. Dates prorate them. Earlier paid amounts and extra deductions are actual allocations; never prorated again.</t>
        </is>
      </c>
    </row>
    <row r="3">
      <c r="A3" t="inlineStr">
        <is>
          <t>Do not repeat previous payments already included in Drawn. One effective change per month; use manual monthly amounts for blended changes.</t>
        </is>
      </c>
    </row>
    <row r="5" ht="48" customHeight="1">
      <c r="A5" s="12" t="inlineStr">
        <is>
          <t>month</t>
        </is>
      </c>
      <c r="B5" s="12" t="inlineStr">
        <is>
          <t>start</t>
        </is>
      </c>
      <c r="C5" s="12" t="inlineStr">
        <is>
          <t>end</t>
        </is>
      </c>
      <c r="D5" s="12" t="inlineStr">
        <is>
          <t>presentation</t>
        </is>
      </c>
      <c r="E5" s="12" t="inlineStr">
        <is>
          <t>drawn_BASIC</t>
        </is>
      </c>
      <c r="F5" s="12" t="inlineStr">
        <is>
          <t>drawn_DA</t>
        </is>
      </c>
      <c r="G5" s="12" t="inlineStr">
        <is>
          <t>drawn_HRA</t>
        </is>
      </c>
      <c r="H5" s="12" t="inlineStr">
        <is>
          <t>drawn_HDA</t>
        </is>
      </c>
      <c r="I5" s="12" t="inlineStr">
        <is>
          <t>drawn_CCA</t>
        </is>
      </c>
      <c r="J5" s="12" t="inlineStr">
        <is>
          <t>new_basic</t>
        </is>
      </c>
      <c r="K5" s="12" t="inlineStr">
        <is>
          <t>da_rate</t>
        </is>
      </c>
      <c r="L5" s="12" t="inlineStr">
        <is>
          <t>hra_rate</t>
        </is>
      </c>
      <c r="M5" s="12" t="inlineStr">
        <is>
          <t>hda_divisor</t>
        </is>
      </c>
      <c r="N5" s="12" t="inlineStr">
        <is>
          <t>due_BASIC</t>
        </is>
      </c>
      <c r="O5" s="12" t="inlineStr">
        <is>
          <t>due_DA</t>
        </is>
      </c>
      <c r="P5" s="12" t="inlineStr">
        <is>
          <t>due_HRA</t>
        </is>
      </c>
      <c r="Q5" s="12" t="inlineStr">
        <is>
          <t>due_HDA</t>
        </is>
      </c>
      <c r="R5" s="12" t="inlineStr">
        <is>
          <t>due_CCA</t>
        </is>
      </c>
      <c r="S5" s="12" t="inlineStr">
        <is>
          <t>prior_BASIC</t>
        </is>
      </c>
      <c r="T5" s="12" t="inlineStr">
        <is>
          <t>prior_DA</t>
        </is>
      </c>
      <c r="U5" s="12" t="inlineStr">
        <is>
          <t>prior_HRA</t>
        </is>
      </c>
      <c r="V5" s="12" t="inlineStr">
        <is>
          <t>prior_HDA</t>
        </is>
      </c>
      <c r="W5" s="12" t="inlineStr">
        <is>
          <t>prior_CCA</t>
        </is>
      </c>
      <c r="X5" s="12" t="inlineStr">
        <is>
          <t>ded_GPF</t>
        </is>
      </c>
      <c r="Y5" s="12" t="inlineStr">
        <is>
          <t>ded_SI</t>
        </is>
      </c>
      <c r="Z5" s="12" t="inlineStr">
        <is>
          <t>ded_CM_CORONA</t>
        </is>
      </c>
      <c r="AA5" s="12" t="inlineStr">
        <is>
          <t>ded_I_TAX</t>
        </is>
      </c>
      <c r="AB5" s="12" t="inlineStr">
        <is>
          <t>ded_GPF_TO_DEDUCT</t>
        </is>
      </c>
      <c r="AC5" s="12" t="inlineStr">
        <is>
          <t>ded_GPF_ALREADY_DEDUCTED</t>
        </is>
      </c>
      <c r="AD5" s="12" t="inlineStr">
        <is>
          <t>ded_SIF_ALREADY_DEDUCTED</t>
        </is>
      </c>
      <c r="AE5" s="12" t="inlineStr">
        <is>
          <t>salary_reference</t>
        </is>
      </c>
      <c r="AF5" s="12" t="inlineStr">
        <is>
          <t>order_reference</t>
        </is>
      </c>
      <c r="AG5" s="12" t="inlineStr">
        <is>
          <t>history_reference</t>
        </is>
      </c>
      <c r="AH5" s="12" t="inlineStr">
        <is>
          <t>deduction_reference</t>
        </is>
      </c>
      <c r="AI5" s="12" t="inlineStr">
        <is>
          <t>history_reviewed</t>
        </is>
      </c>
      <c r="AJ5" s="12" t="inlineStr">
        <is>
          <t>deductions_reviewed</t>
        </is>
      </c>
      <c r="AK5" s="12" t="inlineStr">
        <is>
          <t>bill_no</t>
        </is>
      </c>
      <c r="AL5" s="12" t="inlineStr">
        <is>
          <t>bill_date</t>
        </is>
      </c>
      <c r="AM5" s="12" t="inlineStr">
        <is>
          <t>tv_no</t>
        </is>
      </c>
      <c r="AN5" s="12" t="inlineStr">
        <is>
          <t>tv_date</t>
        </is>
      </c>
      <c r="AO5" s="12" t="inlineStr">
        <is>
          <t>ledger_payment_id</t>
        </is>
      </c>
      <c r="AP5" s="12" t="inlineStr">
        <is>
          <t>ledger_snapshot</t>
        </is>
      </c>
      <c r="AQ5" t="inlineStr">
        <is>
          <t>INPUT CHECK</t>
        </is>
      </c>
    </row>
    <row r="6" ht="36" customHeight="1">
      <c r="A6" s="13" t="inlineStr">
        <is>
          <t>2026-01</t>
        </is>
      </c>
      <c r="B6" s="14" t="n">
        <v>46023</v>
      </c>
      <c r="C6" s="14" t="n">
        <v>46053</v>
      </c>
      <c r="D6" s="13" t="inlineStr">
        <is>
          <t>period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>
        <f>IF(COUNTA('Monthly inputs'!A6:AP6)=0,"UNUSED",IFERROR(IF(AND(AND(COUNT('Monthly inputs'!E6,'Monthly inputs'!F6,'Monthly inputs'!G6,'Monthly inputs'!H6,'Monthly inputs'!I6,'Monthly inputs'!S6,'Monthly inputs'!T6,'Monthly inputs'!U6,'Monthly inputs'!V6,'Monthly inputs'!W6)=10,MIN('Monthly inputs'!E6,'Monthly inputs'!F6,'Monthly inputs'!G6,'Monthly inputs'!H6,'Monthly inputs'!I6,'Monthly inputs'!S6,'Monthly inputs'!T6,'Monthly inputs'!U6,'Monthly inputs'!V6,'Monthly inputs'!W6)&gt;=0,MAX('Monthly inputs'!E6,'Monthly inputs'!F6,'Monthly inputs'!G6,'Monthly inputs'!H6,'Monthly inputs'!I6,'Monthly inputs'!S6,'Monthly inputs'!T6,'Monthly inputs'!U6,'Monthly inputs'!V6,'Monthly inputs'!W6)&lt;=100000000,'Monthly inputs'!E6=ROUND('Monthly inputs'!E6,2),'Monthly inputs'!F6=ROUND('Monthly inputs'!F6,2),'Monthly inputs'!G6=ROUND('Monthly inputs'!G6,2),'Monthly inputs'!H6=ROUND('Monthly inputs'!H6,2),'Monthly inputs'!I6=ROUND('Monthly inputs'!I6,2),'Monthly inputs'!S6=ROUND('Monthly inputs'!S6,2),'Monthly inputs'!T6=ROUND('Monthly inputs'!T6,2),'Monthly inputs'!U6=ROUND('Monthly inputs'!U6,2),'Monthly inputs'!V6=ROUND('Monthly inputs'!V6,2),'Monthly inputs'!W6=ROUND('Monthly inputs'!W6,2)),ISNUMBER('Monthly inputs'!B6),ISNUMBER('Monthly inputs'!C6),'Monthly inputs'!B6&lt;='Monthly inputs'!C6,TEXT('Monthly inputs'!B6,"yyyy-mm")='Monthly inputs'!A6,TEXT('Monthly inputs'!C6,"yyyy-mm")='Monthly inputs'!A6,OR('Monthly inputs'!D6="period",'Monthly inputs'!D6="whole_month"),LEN(TRIM('Monthly inputs'!AE6))&gt;0,LEN(TRIM('Monthly inputs'!AF6))&gt;0,LEN(TRIM('Monthly inputs'!AG6))&gt;0,LEN(TRIM('Monthly inputs'!AH6))&gt;0,'Monthly inputs'!AI6="Yes",'Monthly inputs'!AJ6="Yes",LEN(TRIM(Setup!B3))&gt;0,LEN(TRIM(Setup!B4))&gt;0,OR(Setup!B6="rupee",Setup!B6="paise"),OR(Setup!B8="Yes",Setup!B8="No"),IF(Setup!B5="manual",AND(COUNT('Monthly inputs'!N6,'Monthly inputs'!O6,'Monthly inputs'!P6,'Monthly inputs'!Q6,'Monthly inputs'!R6)=5,MIN('Monthly inputs'!N6,'Monthly inputs'!O6,'Monthly inputs'!P6,'Monthly inputs'!Q6,'Monthly inputs'!R6)&gt;=0,MAX('Monthly inputs'!N6,'Monthly inputs'!O6,'Monthly inputs'!P6,'Monthly inputs'!Q6,'Monthly inputs'!R6)&lt;=100000000,'Monthly inputs'!N6=ROUND('Monthly inputs'!N6,2),'Monthly inputs'!O6=ROUND('Monthly inputs'!O6,2),'Monthly inputs'!P6=ROUND('Monthly inputs'!P6,2),'Monthly inputs'!Q6=ROUND('Monthly inputs'!Q6,2),'Monthly inputs'!R6=ROUND('Monthly inputs'!R6,2)),IF(Setup!B5="increment",AND(COUNT('Monthly inputs'!J6,'Monthly inputs'!K6,'Monthly inputs'!L6)=3,MIN('Monthly inputs'!J6,'Monthly inputs'!K6,'Monthly inputs'!L6)&gt;=0,MAX('Monthly inputs'!J6,'Monthly inputs'!K6,'Monthly inputs'!L6)&lt;=100000000,'Monthly inputs'!J6=ROUND('Monthly inputs'!J6,2),'Monthly inputs'!K6&lt;=1000,'Monthly inputs'!L6&lt;=1000),IF(Setup!B5="da",AND(COUNT('Monthly inputs'!K6)=1,MIN('Monthly inputs'!K6)&gt;=0,MAX('Monthly inputs'!K6)&lt;=100000000,'Monthly inputs'!K6&lt;=1000),IF(Setup!B5="hra",AND(COUNT('Monthly inputs'!L6)=1,MIN('Monthly inputs'!L6)&gt;=0,MAX('Monthly inputs'!L6)&lt;=100000000,'Monthly inputs'!L6&lt;=1000),FALSE)))),IF(AND(OR(Setup!B5="increment",Setup!B5="da"),Setup!B8="Yes"),AND(COUNT('Monthly inputs'!M6)=1,MIN('Monthly inputs'!M6)&gt;=0,MAX('Monthly inputs'!M6)&lt;=100000000,'Monthly inputs'!M6&gt;0),TRUE),IF(Setup!B7="jodhpur_gpf_arrear",AND(AND(COUNT('Monthly inputs'!AB6,'Monthly inputs'!AC6,'Monthly inputs'!AD6,'Monthly inputs'!AA6)=4,MIN('Monthly inputs'!AB6,'Monthly inputs'!AC6,'Monthly inputs'!AD6,'Monthly inputs'!AA6)&gt;=0,MAX('Monthly inputs'!AB6,'Monthly inputs'!AC6,'Monthly inputs'!AD6,'Monthly inputs'!AA6)&lt;=100000000,'Monthly inputs'!AB6=ROUND('Monthly inputs'!AB6,2),'Monthly inputs'!AC6=ROUND('Monthly inputs'!AC6,2),'Monthly inputs'!AD6=ROUND('Monthly inputs'!AD6,2),'Monthly inputs'!AA6=ROUND('Monthly inputs'!AA6,2)),OR('Monthly inputs'!X6="",'Monthly inputs'!X6=0),OR('Monthly inputs'!Y6="",'Monthly inputs'!Y6=0),OR('Monthly inputs'!Z6="",'Monthly inputs'!Z6=0)),IF(Setup!B7="jodhpur_classic",AND(AND(COUNT('Monthly inputs'!X6,'Monthly inputs'!Y6,'Monthly inputs'!Z6,'Monthly inputs'!AA6)=4,MIN('Monthly inputs'!X6,'Monthly inputs'!Y6,'Monthly inputs'!Z6,'Monthly inputs'!AA6)&gt;=0,MAX('Monthly inputs'!X6,'Monthly inputs'!Y6,'Monthly inputs'!Z6,'Monthly inputs'!AA6)&lt;=100000000,'Monthly inputs'!X6=ROUND('Monthly inputs'!X6,2),'Monthly inputs'!Y6=ROUND('Monthly inputs'!Y6,2),'Monthly inputs'!Z6=ROUND('Monthly inputs'!Z6,2),'Monthly inputs'!AA6=ROUND('Monthly inputs'!AA6,2)),OR('Monthly inputs'!AB6="",'Monthly inputs'!AB6=0),OR('Monthly inputs'!AC6="",'Monthly inputs'!AC6=0),OR('Monthly inputs'!AD6="",'Monthly inputs'!AD6=0)),FALSE))),"OK","INCOMPLETE"),"INCOMPLETE"))</f>
        <v/>
      </c>
    </row>
    <row r="7" ht="36" customHeight="1">
      <c r="A7" s="13" t="inlineStr">
        <is>
          <t>2026-02</t>
        </is>
      </c>
      <c r="B7" s="14" t="n">
        <v>46054</v>
      </c>
      <c r="C7" s="14" t="n">
        <v>46081</v>
      </c>
      <c r="D7" s="13" t="inlineStr">
        <is>
          <t>period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>
        <f>IF(COUNTA('Monthly inputs'!A7:AP7)=0,"UNUSED",IFERROR(IF(AND(AND(COUNT('Monthly inputs'!E7,'Monthly inputs'!F7,'Monthly inputs'!G7,'Monthly inputs'!H7,'Monthly inputs'!I7,'Monthly inputs'!S7,'Monthly inputs'!T7,'Monthly inputs'!U7,'Monthly inputs'!V7,'Monthly inputs'!W7)=10,MIN('Monthly inputs'!E7,'Monthly inputs'!F7,'Monthly inputs'!G7,'Monthly inputs'!H7,'Monthly inputs'!I7,'Monthly inputs'!S7,'Monthly inputs'!T7,'Monthly inputs'!U7,'Monthly inputs'!V7,'Monthly inputs'!W7)&gt;=0,MAX('Monthly inputs'!E7,'Monthly inputs'!F7,'Monthly inputs'!G7,'Monthly inputs'!H7,'Monthly inputs'!I7,'Monthly inputs'!S7,'Monthly inputs'!T7,'Monthly inputs'!U7,'Monthly inputs'!V7,'Monthly inputs'!W7)&lt;=100000000,'Monthly inputs'!E7=ROUND('Monthly inputs'!E7,2),'Monthly inputs'!F7=ROUND('Monthly inputs'!F7,2),'Monthly inputs'!G7=ROUND('Monthly inputs'!G7,2),'Monthly inputs'!H7=ROUND('Monthly inputs'!H7,2),'Monthly inputs'!I7=ROUND('Monthly inputs'!I7,2),'Monthly inputs'!S7=ROUND('Monthly inputs'!S7,2),'Monthly inputs'!T7=ROUND('Monthly inputs'!T7,2),'Monthly inputs'!U7=ROUND('Monthly inputs'!U7,2),'Monthly inputs'!V7=ROUND('Monthly inputs'!V7,2),'Monthly inputs'!W7=ROUND('Monthly inputs'!W7,2)),ISNUMBER('Monthly inputs'!B7),ISNUMBER('Monthly inputs'!C7),'Monthly inputs'!B7&lt;='Monthly inputs'!C7,TEXT('Monthly inputs'!B7,"yyyy-mm")='Monthly inputs'!A7,TEXT('Monthly inputs'!C7,"yyyy-mm")='Monthly inputs'!A7,OR('Monthly inputs'!D7="period",'Monthly inputs'!D7="whole_month"),'Monthly inputs'!B7='Monthly inputs'!C6+1,'Monthly inputs'!A7&lt;&gt;'Monthly inputs'!A6,LEN(TRIM('Monthly inputs'!AE7))&gt;0,LEN(TRIM('Monthly inputs'!AF7))&gt;0,LEN(TRIM('Monthly inputs'!AG7))&gt;0,LEN(TRIM('Monthly inputs'!AH7))&gt;0,'Monthly inputs'!AI7="Yes",'Monthly inputs'!AJ7="Yes",LEN(TRIM(Setup!B3))&gt;0,LEN(TRIM(Setup!B4))&gt;0,OR(Setup!B6="rupee",Setup!B6="paise"),OR(Setup!B8="Yes",Setup!B8="No"),IF(Setup!B5="manual",AND(COUNT('Monthly inputs'!N7,'Monthly inputs'!O7,'Monthly inputs'!P7,'Monthly inputs'!Q7,'Monthly inputs'!R7)=5,MIN('Monthly inputs'!N7,'Monthly inputs'!O7,'Monthly inputs'!P7,'Monthly inputs'!Q7,'Monthly inputs'!R7)&gt;=0,MAX('Monthly inputs'!N7,'Monthly inputs'!O7,'Monthly inputs'!P7,'Monthly inputs'!Q7,'Monthly inputs'!R7)&lt;=100000000,'Monthly inputs'!N7=ROUND('Monthly inputs'!N7,2),'Monthly inputs'!O7=ROUND('Monthly inputs'!O7,2),'Monthly inputs'!P7=ROUND('Monthly inputs'!P7,2),'Monthly inputs'!Q7=ROUND('Monthly inputs'!Q7,2),'Monthly inputs'!R7=ROUND('Monthly inputs'!R7,2)),IF(Setup!B5="increment",AND(COUNT('Monthly inputs'!J7,'Monthly inputs'!K7,'Monthly inputs'!L7)=3,MIN('Monthly inputs'!J7,'Monthly inputs'!K7,'Monthly inputs'!L7)&gt;=0,MAX('Monthly inputs'!J7,'Monthly inputs'!K7,'Monthly inputs'!L7)&lt;=100000000,'Monthly inputs'!J7=ROUND('Monthly inputs'!J7,2),'Monthly inputs'!K7&lt;=1000,'Monthly inputs'!L7&lt;=1000),IF(Setup!B5="da",AND(COUNT('Monthly inputs'!K7)=1,MIN('Monthly inputs'!K7)&gt;=0,MAX('Monthly inputs'!K7)&lt;=100000000,'Monthly inputs'!K7&lt;=1000),IF(Setup!B5="hra",AND(COUNT('Monthly inputs'!L7)=1,MIN('Monthly inputs'!L7)&gt;=0,MAX('Monthly inputs'!L7)&lt;=100000000,'Monthly inputs'!L7&lt;=1000),FALSE)))),IF(AND(OR(Setup!B5="increment",Setup!B5="da"),Setup!B8="Yes"),AND(COUNT('Monthly inputs'!M7)=1,MIN('Monthly inputs'!M7)&gt;=0,MAX('Monthly inputs'!M7)&lt;=100000000,'Monthly inputs'!M7&gt;0),TRUE),IF(Setup!B7="jodhpur_gpf_arrear",AND(AND(COUNT('Monthly inputs'!AB7,'Monthly inputs'!AC7,'Monthly inputs'!AD7,'Monthly inputs'!AA7)=4,MIN('Monthly inputs'!AB7,'Monthly inputs'!AC7,'Monthly inputs'!AD7,'Monthly inputs'!AA7)&gt;=0,MAX('Monthly inputs'!AB7,'Monthly inputs'!AC7,'Monthly inputs'!AD7,'Monthly inputs'!AA7)&lt;=100000000,'Monthly inputs'!AB7=ROUND('Monthly inputs'!AB7,2),'Monthly inputs'!AC7=ROUND('Monthly inputs'!AC7,2),'Monthly inputs'!AD7=ROUND('Monthly inputs'!AD7,2),'Monthly inputs'!AA7=ROUND('Monthly inputs'!AA7,2)),OR('Monthly inputs'!X7="",'Monthly inputs'!X7=0),OR('Monthly inputs'!Y7="",'Monthly inputs'!Y7=0),OR('Monthly inputs'!Z7="",'Monthly inputs'!Z7=0)),IF(Setup!B7="jodhpur_classic",AND(AND(COUNT('Monthly inputs'!X7,'Monthly inputs'!Y7,'Monthly inputs'!Z7,'Monthly inputs'!AA7)=4,MIN('Monthly inputs'!X7,'Monthly inputs'!Y7,'Monthly inputs'!Z7,'Monthly inputs'!AA7)&gt;=0,MAX('Monthly inputs'!X7,'Monthly inputs'!Y7,'Monthly inputs'!Z7,'Monthly inputs'!AA7)&lt;=100000000,'Monthly inputs'!X7=ROUND('Monthly inputs'!X7,2),'Monthly inputs'!Y7=ROUND('Monthly inputs'!Y7,2),'Monthly inputs'!Z7=ROUND('Monthly inputs'!Z7,2),'Monthly inputs'!AA7=ROUND('Monthly inputs'!AA7,2)),OR('Monthly inputs'!AB7="",'Monthly inputs'!AB7=0),OR('Monthly inputs'!AC7="",'Monthly inputs'!AC7=0),OR('Monthly inputs'!AD7="",'Monthly inputs'!AD7=0)),FALSE))),"OK","INCOMPLETE"),"INCOMPLETE"))</f>
        <v/>
      </c>
    </row>
    <row r="8" ht="36" customHeight="1">
      <c r="A8" s="13" t="inlineStr">
        <is>
          <t>2026-03</t>
        </is>
      </c>
      <c r="B8" s="14" t="n">
        <v>46082</v>
      </c>
      <c r="C8" s="14" t="n">
        <v>46112</v>
      </c>
      <c r="D8" s="13" t="inlineStr">
        <is>
          <t>period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>
        <f>IF(COUNTA('Monthly inputs'!A8:AP8)=0,"UNUSED",IFERROR(IF(AND(AND(COUNT('Monthly inputs'!E8,'Monthly inputs'!F8,'Monthly inputs'!G8,'Monthly inputs'!H8,'Monthly inputs'!I8,'Monthly inputs'!S8,'Monthly inputs'!T8,'Monthly inputs'!U8,'Monthly inputs'!V8,'Monthly inputs'!W8)=10,MIN('Monthly inputs'!E8,'Monthly inputs'!F8,'Monthly inputs'!G8,'Monthly inputs'!H8,'Monthly inputs'!I8,'Monthly inputs'!S8,'Monthly inputs'!T8,'Monthly inputs'!U8,'Monthly inputs'!V8,'Monthly inputs'!W8)&gt;=0,MAX('Monthly inputs'!E8,'Monthly inputs'!F8,'Monthly inputs'!G8,'Monthly inputs'!H8,'Monthly inputs'!I8,'Monthly inputs'!S8,'Monthly inputs'!T8,'Monthly inputs'!U8,'Monthly inputs'!V8,'Monthly inputs'!W8)&lt;=100000000,'Monthly inputs'!E8=ROUND('Monthly inputs'!E8,2),'Monthly inputs'!F8=ROUND('Monthly inputs'!F8,2),'Monthly inputs'!G8=ROUND('Monthly inputs'!G8,2),'Monthly inputs'!H8=ROUND('Monthly inputs'!H8,2),'Monthly inputs'!I8=ROUND('Monthly inputs'!I8,2),'Monthly inputs'!S8=ROUND('Monthly inputs'!S8,2),'Monthly inputs'!T8=ROUND('Monthly inputs'!T8,2),'Monthly inputs'!U8=ROUND('Monthly inputs'!U8,2),'Monthly inputs'!V8=ROUND('Monthly inputs'!V8,2),'Monthly inputs'!W8=ROUND('Monthly inputs'!W8,2)),ISNUMBER('Monthly inputs'!B8),ISNUMBER('Monthly inputs'!C8),'Monthly inputs'!B8&lt;='Monthly inputs'!C8,TEXT('Monthly inputs'!B8,"yyyy-mm")='Monthly inputs'!A8,TEXT('Monthly inputs'!C8,"yyyy-mm")='Monthly inputs'!A8,OR('Monthly inputs'!D8="period",'Monthly inputs'!D8="whole_month"),'Monthly inputs'!B8='Monthly inputs'!C7+1,'Monthly inputs'!A8&lt;&gt;'Monthly inputs'!A7,LEN(TRIM('Monthly inputs'!AE8))&gt;0,LEN(TRIM('Monthly inputs'!AF8))&gt;0,LEN(TRIM('Monthly inputs'!AG8))&gt;0,LEN(TRIM('Monthly inputs'!AH8))&gt;0,'Monthly inputs'!AI8="Yes",'Monthly inputs'!AJ8="Yes",LEN(TRIM(Setup!B3))&gt;0,LEN(TRIM(Setup!B4))&gt;0,OR(Setup!B6="rupee",Setup!B6="paise"),OR(Setup!B8="Yes",Setup!B8="No"),IF(Setup!B5="manual",AND(COUNT('Monthly inputs'!N8,'Monthly inputs'!O8,'Monthly inputs'!P8,'Monthly inputs'!Q8,'Monthly inputs'!R8)=5,MIN('Monthly inputs'!N8,'Monthly inputs'!O8,'Monthly inputs'!P8,'Monthly inputs'!Q8,'Monthly inputs'!R8)&gt;=0,MAX('Monthly inputs'!N8,'Monthly inputs'!O8,'Monthly inputs'!P8,'Monthly inputs'!Q8,'Monthly inputs'!R8)&lt;=100000000,'Monthly inputs'!N8=ROUND('Monthly inputs'!N8,2),'Monthly inputs'!O8=ROUND('Monthly inputs'!O8,2),'Monthly inputs'!P8=ROUND('Monthly inputs'!P8,2),'Monthly inputs'!Q8=ROUND('Monthly inputs'!Q8,2),'Monthly inputs'!R8=ROUND('Monthly inputs'!R8,2)),IF(Setup!B5="increment",AND(COUNT('Monthly inputs'!J8,'Monthly inputs'!K8,'Monthly inputs'!L8)=3,MIN('Monthly inputs'!J8,'Monthly inputs'!K8,'Monthly inputs'!L8)&gt;=0,MAX('Monthly inputs'!J8,'Monthly inputs'!K8,'Monthly inputs'!L8)&lt;=100000000,'Monthly inputs'!J8=ROUND('Monthly inputs'!J8,2),'Monthly inputs'!K8&lt;=1000,'Monthly inputs'!L8&lt;=1000),IF(Setup!B5="da",AND(COUNT('Monthly inputs'!K8)=1,MIN('Monthly inputs'!K8)&gt;=0,MAX('Monthly inputs'!K8)&lt;=100000000,'Monthly inputs'!K8&lt;=1000),IF(Setup!B5="hra",AND(COUNT('Monthly inputs'!L8)=1,MIN('Monthly inputs'!L8)&gt;=0,MAX('Monthly inputs'!L8)&lt;=100000000,'Monthly inputs'!L8&lt;=1000),FALSE)))),IF(AND(OR(Setup!B5="increment",Setup!B5="da"),Setup!B8="Yes"),AND(COUNT('Monthly inputs'!M8)=1,MIN('Monthly inputs'!M8)&gt;=0,MAX('Monthly inputs'!M8)&lt;=100000000,'Monthly inputs'!M8&gt;0),TRUE),IF(Setup!B7="jodhpur_gpf_arrear",AND(AND(COUNT('Monthly inputs'!AB8,'Monthly inputs'!AC8,'Monthly inputs'!AD8,'Monthly inputs'!AA8)=4,MIN('Monthly inputs'!AB8,'Monthly inputs'!AC8,'Monthly inputs'!AD8,'Monthly inputs'!AA8)&gt;=0,MAX('Monthly inputs'!AB8,'Monthly inputs'!AC8,'Monthly inputs'!AD8,'Monthly inputs'!AA8)&lt;=100000000,'Monthly inputs'!AB8=ROUND('Monthly inputs'!AB8,2),'Monthly inputs'!AC8=ROUND('Monthly inputs'!AC8,2),'Monthly inputs'!AD8=ROUND('Monthly inputs'!AD8,2),'Monthly inputs'!AA8=ROUND('Monthly inputs'!AA8,2)),OR('Monthly inputs'!X8="",'Monthly inputs'!X8=0),OR('Monthly inputs'!Y8="",'Monthly inputs'!Y8=0),OR('Monthly inputs'!Z8="",'Monthly inputs'!Z8=0)),IF(Setup!B7="jodhpur_classic",AND(AND(COUNT('Monthly inputs'!X8,'Monthly inputs'!Y8,'Monthly inputs'!Z8,'Monthly inputs'!AA8)=4,MIN('Monthly inputs'!X8,'Monthly inputs'!Y8,'Monthly inputs'!Z8,'Monthly inputs'!AA8)&gt;=0,MAX('Monthly inputs'!X8,'Monthly inputs'!Y8,'Monthly inputs'!Z8,'Monthly inputs'!AA8)&lt;=100000000,'Monthly inputs'!X8=ROUND('Monthly inputs'!X8,2),'Monthly inputs'!Y8=ROUND('Monthly inputs'!Y8,2),'Monthly inputs'!Z8=ROUND('Monthly inputs'!Z8,2),'Monthly inputs'!AA8=ROUND('Monthly inputs'!AA8,2)),OR('Monthly inputs'!AB8="",'Monthly inputs'!AB8=0),OR('Monthly inputs'!AC8="",'Monthly inputs'!AC8=0),OR('Monthly inputs'!AD8="",'Monthly inputs'!AD8=0)),FALSE))),"OK","INCOMPLETE"),"INCOMPLETE"))</f>
        <v/>
      </c>
    </row>
    <row r="9" ht="36" customHeight="1">
      <c r="A9" s="13" t="inlineStr">
        <is>
          <t>2026-04</t>
        </is>
      </c>
      <c r="B9" s="14" t="n">
        <v>46113</v>
      </c>
      <c r="C9" s="14" t="n">
        <v>46142</v>
      </c>
      <c r="D9" s="13" t="inlineStr">
        <is>
          <t>period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>
        <f>IF(COUNTA('Monthly inputs'!A9:AP9)=0,"UNUSED",IFERROR(IF(AND(AND(COUNT('Monthly inputs'!E9,'Monthly inputs'!F9,'Monthly inputs'!G9,'Monthly inputs'!H9,'Monthly inputs'!I9,'Monthly inputs'!S9,'Monthly inputs'!T9,'Monthly inputs'!U9,'Monthly inputs'!V9,'Monthly inputs'!W9)=10,MIN('Monthly inputs'!E9,'Monthly inputs'!F9,'Monthly inputs'!G9,'Monthly inputs'!H9,'Monthly inputs'!I9,'Monthly inputs'!S9,'Monthly inputs'!T9,'Monthly inputs'!U9,'Monthly inputs'!V9,'Monthly inputs'!W9)&gt;=0,MAX('Monthly inputs'!E9,'Monthly inputs'!F9,'Monthly inputs'!G9,'Monthly inputs'!H9,'Monthly inputs'!I9,'Monthly inputs'!S9,'Monthly inputs'!T9,'Monthly inputs'!U9,'Monthly inputs'!V9,'Monthly inputs'!W9)&lt;=100000000,'Monthly inputs'!E9=ROUND('Monthly inputs'!E9,2),'Monthly inputs'!F9=ROUND('Monthly inputs'!F9,2),'Monthly inputs'!G9=ROUND('Monthly inputs'!G9,2),'Monthly inputs'!H9=ROUND('Monthly inputs'!H9,2),'Monthly inputs'!I9=ROUND('Monthly inputs'!I9,2),'Monthly inputs'!S9=ROUND('Monthly inputs'!S9,2),'Monthly inputs'!T9=ROUND('Monthly inputs'!T9,2),'Monthly inputs'!U9=ROUND('Monthly inputs'!U9,2),'Monthly inputs'!V9=ROUND('Monthly inputs'!V9,2),'Monthly inputs'!W9=ROUND('Monthly inputs'!W9,2)),ISNUMBER('Monthly inputs'!B9),ISNUMBER('Monthly inputs'!C9),'Monthly inputs'!B9&lt;='Monthly inputs'!C9,TEXT('Monthly inputs'!B9,"yyyy-mm")='Monthly inputs'!A9,TEXT('Monthly inputs'!C9,"yyyy-mm")='Monthly inputs'!A9,OR('Monthly inputs'!D9="period",'Monthly inputs'!D9="whole_month"),'Monthly inputs'!B9='Monthly inputs'!C8+1,'Monthly inputs'!A9&lt;&gt;'Monthly inputs'!A8,LEN(TRIM('Monthly inputs'!AE9))&gt;0,LEN(TRIM('Monthly inputs'!AF9))&gt;0,LEN(TRIM('Monthly inputs'!AG9))&gt;0,LEN(TRIM('Monthly inputs'!AH9))&gt;0,'Monthly inputs'!AI9="Yes",'Monthly inputs'!AJ9="Yes",LEN(TRIM(Setup!B3))&gt;0,LEN(TRIM(Setup!B4))&gt;0,OR(Setup!B6="rupee",Setup!B6="paise"),OR(Setup!B8="Yes",Setup!B8="No"),IF(Setup!B5="manual",AND(COUNT('Monthly inputs'!N9,'Monthly inputs'!O9,'Monthly inputs'!P9,'Monthly inputs'!Q9,'Monthly inputs'!R9)=5,MIN('Monthly inputs'!N9,'Monthly inputs'!O9,'Monthly inputs'!P9,'Monthly inputs'!Q9,'Monthly inputs'!R9)&gt;=0,MAX('Monthly inputs'!N9,'Monthly inputs'!O9,'Monthly inputs'!P9,'Monthly inputs'!Q9,'Monthly inputs'!R9)&lt;=100000000,'Monthly inputs'!N9=ROUND('Monthly inputs'!N9,2),'Monthly inputs'!O9=ROUND('Monthly inputs'!O9,2),'Monthly inputs'!P9=ROUND('Monthly inputs'!P9,2),'Monthly inputs'!Q9=ROUND('Monthly inputs'!Q9,2),'Monthly inputs'!R9=ROUND('Monthly inputs'!R9,2)),IF(Setup!B5="increment",AND(COUNT('Monthly inputs'!J9,'Monthly inputs'!K9,'Monthly inputs'!L9)=3,MIN('Monthly inputs'!J9,'Monthly inputs'!K9,'Monthly inputs'!L9)&gt;=0,MAX('Monthly inputs'!J9,'Monthly inputs'!K9,'Monthly inputs'!L9)&lt;=100000000,'Monthly inputs'!J9=ROUND('Monthly inputs'!J9,2),'Monthly inputs'!K9&lt;=1000,'Monthly inputs'!L9&lt;=1000),IF(Setup!B5="da",AND(COUNT('Monthly inputs'!K9)=1,MIN('Monthly inputs'!K9)&gt;=0,MAX('Monthly inputs'!K9)&lt;=100000000,'Monthly inputs'!K9&lt;=1000),IF(Setup!B5="hra",AND(COUNT('Monthly inputs'!L9)=1,MIN('Monthly inputs'!L9)&gt;=0,MAX('Monthly inputs'!L9)&lt;=100000000,'Monthly inputs'!L9&lt;=1000),FALSE)))),IF(AND(OR(Setup!B5="increment",Setup!B5="da"),Setup!B8="Yes"),AND(COUNT('Monthly inputs'!M9)=1,MIN('Monthly inputs'!M9)&gt;=0,MAX('Monthly inputs'!M9)&lt;=100000000,'Monthly inputs'!M9&gt;0),TRUE),IF(Setup!B7="jodhpur_gpf_arrear",AND(AND(COUNT('Monthly inputs'!AB9,'Monthly inputs'!AC9,'Monthly inputs'!AD9,'Monthly inputs'!AA9)=4,MIN('Monthly inputs'!AB9,'Monthly inputs'!AC9,'Monthly inputs'!AD9,'Monthly inputs'!AA9)&gt;=0,MAX('Monthly inputs'!AB9,'Monthly inputs'!AC9,'Monthly inputs'!AD9,'Monthly inputs'!AA9)&lt;=100000000,'Monthly inputs'!AB9=ROUND('Monthly inputs'!AB9,2),'Monthly inputs'!AC9=ROUND('Monthly inputs'!AC9,2),'Monthly inputs'!AD9=ROUND('Monthly inputs'!AD9,2),'Monthly inputs'!AA9=ROUND('Monthly inputs'!AA9,2)),OR('Monthly inputs'!X9="",'Monthly inputs'!X9=0),OR('Monthly inputs'!Y9="",'Monthly inputs'!Y9=0),OR('Monthly inputs'!Z9="",'Monthly inputs'!Z9=0)),IF(Setup!B7="jodhpur_classic",AND(AND(COUNT('Monthly inputs'!X9,'Monthly inputs'!Y9,'Monthly inputs'!Z9,'Monthly inputs'!AA9)=4,MIN('Monthly inputs'!X9,'Monthly inputs'!Y9,'Monthly inputs'!Z9,'Monthly inputs'!AA9)&gt;=0,MAX('Monthly inputs'!X9,'Monthly inputs'!Y9,'Monthly inputs'!Z9,'Monthly inputs'!AA9)&lt;=100000000,'Monthly inputs'!X9=ROUND('Monthly inputs'!X9,2),'Monthly inputs'!Y9=ROUND('Monthly inputs'!Y9,2),'Monthly inputs'!Z9=ROUND('Monthly inputs'!Z9,2),'Monthly inputs'!AA9=ROUND('Monthly inputs'!AA9,2)),OR('Monthly inputs'!AB9="",'Monthly inputs'!AB9=0),OR('Monthly inputs'!AC9="",'Monthly inputs'!AC9=0),OR('Monthly inputs'!AD9="",'Monthly inputs'!AD9=0)),FALSE))),"OK","INCOMPLETE"),"INCOMPLETE"))</f>
        <v/>
      </c>
    </row>
    <row r="10" ht="36" customHeight="1">
      <c r="A10" s="13" t="inlineStr">
        <is>
          <t>2026-05</t>
        </is>
      </c>
      <c r="B10" s="14" t="n">
        <v>46143</v>
      </c>
      <c r="C10" s="14" t="n">
        <v>46173</v>
      </c>
      <c r="D10" s="13" t="inlineStr">
        <is>
          <t>period</t>
        </is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>
        <f>IF(COUNTA('Monthly inputs'!A10:AP10)=0,"UNUSED",IFERROR(IF(AND(AND(COUNT('Monthly inputs'!E10,'Monthly inputs'!F10,'Monthly inputs'!G10,'Monthly inputs'!H10,'Monthly inputs'!I10,'Monthly inputs'!S10,'Monthly inputs'!T10,'Monthly inputs'!U10,'Monthly inputs'!V10,'Monthly inputs'!W10)=10,MIN('Monthly inputs'!E10,'Monthly inputs'!F10,'Monthly inputs'!G10,'Monthly inputs'!H10,'Monthly inputs'!I10,'Monthly inputs'!S10,'Monthly inputs'!T10,'Monthly inputs'!U10,'Monthly inputs'!V10,'Monthly inputs'!W10)&gt;=0,MAX('Monthly inputs'!E10,'Monthly inputs'!F10,'Monthly inputs'!G10,'Monthly inputs'!H10,'Monthly inputs'!I10,'Monthly inputs'!S10,'Monthly inputs'!T10,'Monthly inputs'!U10,'Monthly inputs'!V10,'Monthly inputs'!W10)&lt;=100000000,'Monthly inputs'!E10=ROUND('Monthly inputs'!E10,2),'Monthly inputs'!F10=ROUND('Monthly inputs'!F10,2),'Monthly inputs'!G10=ROUND('Monthly inputs'!G10,2),'Monthly inputs'!H10=ROUND('Monthly inputs'!H10,2),'Monthly inputs'!I10=ROUND('Monthly inputs'!I10,2),'Monthly inputs'!S10=ROUND('Monthly inputs'!S10,2),'Monthly inputs'!T10=ROUND('Monthly inputs'!T10,2),'Monthly inputs'!U10=ROUND('Monthly inputs'!U10,2),'Monthly inputs'!V10=ROUND('Monthly inputs'!V10,2),'Monthly inputs'!W10=ROUND('Monthly inputs'!W10,2)),ISNUMBER('Monthly inputs'!B10),ISNUMBER('Monthly inputs'!C10),'Monthly inputs'!B10&lt;='Monthly inputs'!C10,TEXT('Monthly inputs'!B10,"yyyy-mm")='Monthly inputs'!A10,TEXT('Monthly inputs'!C10,"yyyy-mm")='Monthly inputs'!A10,OR('Monthly inputs'!D10="period",'Monthly inputs'!D10="whole_month"),'Monthly inputs'!B10='Monthly inputs'!C9+1,'Monthly inputs'!A10&lt;&gt;'Monthly inputs'!A9,LEN(TRIM('Monthly inputs'!AE10))&gt;0,LEN(TRIM('Monthly inputs'!AF10))&gt;0,LEN(TRIM('Monthly inputs'!AG10))&gt;0,LEN(TRIM('Monthly inputs'!AH10))&gt;0,'Monthly inputs'!AI10="Yes",'Monthly inputs'!AJ10="Yes",LEN(TRIM(Setup!B3))&gt;0,LEN(TRIM(Setup!B4))&gt;0,OR(Setup!B6="rupee",Setup!B6="paise"),OR(Setup!B8="Yes",Setup!B8="No"),IF(Setup!B5="manual",AND(COUNT('Monthly inputs'!N10,'Monthly inputs'!O10,'Monthly inputs'!P10,'Monthly inputs'!Q10,'Monthly inputs'!R10)=5,MIN('Monthly inputs'!N10,'Monthly inputs'!O10,'Monthly inputs'!P10,'Monthly inputs'!Q10,'Monthly inputs'!R10)&gt;=0,MAX('Monthly inputs'!N10,'Monthly inputs'!O10,'Monthly inputs'!P10,'Monthly inputs'!Q10,'Monthly inputs'!R10)&lt;=100000000,'Monthly inputs'!N10=ROUND('Monthly inputs'!N10,2),'Monthly inputs'!O10=ROUND('Monthly inputs'!O10,2),'Monthly inputs'!P10=ROUND('Monthly inputs'!P10,2),'Monthly inputs'!Q10=ROUND('Monthly inputs'!Q10,2),'Monthly inputs'!R10=ROUND('Monthly inputs'!R10,2)),IF(Setup!B5="increment",AND(COUNT('Monthly inputs'!J10,'Monthly inputs'!K10,'Monthly inputs'!L10)=3,MIN('Monthly inputs'!J10,'Monthly inputs'!K10,'Monthly inputs'!L10)&gt;=0,MAX('Monthly inputs'!J10,'Monthly inputs'!K10,'Monthly inputs'!L10)&lt;=100000000,'Monthly inputs'!J10=ROUND('Monthly inputs'!J10,2),'Monthly inputs'!K10&lt;=1000,'Monthly inputs'!L10&lt;=1000),IF(Setup!B5="da",AND(COUNT('Monthly inputs'!K10)=1,MIN('Monthly inputs'!K10)&gt;=0,MAX('Monthly inputs'!K10)&lt;=100000000,'Monthly inputs'!K10&lt;=1000),IF(Setup!B5="hra",AND(COUNT('Monthly inputs'!L10)=1,MIN('Monthly inputs'!L10)&gt;=0,MAX('Monthly inputs'!L10)&lt;=100000000,'Monthly inputs'!L10&lt;=1000),FALSE)))),IF(AND(OR(Setup!B5="increment",Setup!B5="da"),Setup!B8="Yes"),AND(COUNT('Monthly inputs'!M10)=1,MIN('Monthly inputs'!M10)&gt;=0,MAX('Monthly inputs'!M10)&lt;=100000000,'Monthly inputs'!M10&gt;0),TRUE),IF(Setup!B7="jodhpur_gpf_arrear",AND(AND(COUNT('Monthly inputs'!AB10,'Monthly inputs'!AC10,'Monthly inputs'!AD10,'Monthly inputs'!AA10)=4,MIN('Monthly inputs'!AB10,'Monthly inputs'!AC10,'Monthly inputs'!AD10,'Monthly inputs'!AA10)&gt;=0,MAX('Monthly inputs'!AB10,'Monthly inputs'!AC10,'Monthly inputs'!AD10,'Monthly inputs'!AA10)&lt;=100000000,'Monthly inputs'!AB10=ROUND('Monthly inputs'!AB10,2),'Monthly inputs'!AC10=ROUND('Monthly inputs'!AC10,2),'Monthly inputs'!AD10=ROUND('Monthly inputs'!AD10,2),'Monthly inputs'!AA10=ROUND('Monthly inputs'!AA10,2)),OR('Monthly inputs'!X10="",'Monthly inputs'!X10=0),OR('Monthly inputs'!Y10="",'Monthly inputs'!Y10=0),OR('Monthly inputs'!Z10="",'Monthly inputs'!Z10=0)),IF(Setup!B7="jodhpur_classic",AND(AND(COUNT('Monthly inputs'!X10,'Monthly inputs'!Y10,'Monthly inputs'!Z10,'Monthly inputs'!AA10)=4,MIN('Monthly inputs'!X10,'Monthly inputs'!Y10,'Monthly inputs'!Z10,'Monthly inputs'!AA10)&gt;=0,MAX('Monthly inputs'!X10,'Monthly inputs'!Y10,'Monthly inputs'!Z10,'Monthly inputs'!AA10)&lt;=100000000,'Monthly inputs'!X10=ROUND('Monthly inputs'!X10,2),'Monthly inputs'!Y10=ROUND('Monthly inputs'!Y10,2),'Monthly inputs'!Z10=ROUND('Monthly inputs'!Z10,2),'Monthly inputs'!AA10=ROUND('Monthly inputs'!AA10,2)),OR('Monthly inputs'!AB10="",'Monthly inputs'!AB10=0),OR('Monthly inputs'!AC10="",'Monthly inputs'!AC10=0),OR('Monthly inputs'!AD10="",'Monthly inputs'!AD10=0)),FALSE))),"OK","INCOMPLETE"),"INCOMPLETE"))</f>
        <v/>
      </c>
    </row>
    <row r="11" ht="36" customHeight="1">
      <c r="A11" s="13" t="inlineStr">
        <is>
          <t>2026-06</t>
        </is>
      </c>
      <c r="B11" s="14" t="n">
        <v>46174</v>
      </c>
      <c r="C11" s="14" t="n">
        <v>46203</v>
      </c>
      <c r="D11" s="13" t="inlineStr">
        <is>
          <t>period</t>
        </is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>
        <f>IF(COUNTA('Monthly inputs'!A11:AP11)=0,"UNUSED",IFERROR(IF(AND(AND(COUNT('Monthly inputs'!E11,'Monthly inputs'!F11,'Monthly inputs'!G11,'Monthly inputs'!H11,'Monthly inputs'!I11,'Monthly inputs'!S11,'Monthly inputs'!T11,'Monthly inputs'!U11,'Monthly inputs'!V11,'Monthly inputs'!W11)=10,MIN('Monthly inputs'!E11,'Monthly inputs'!F11,'Monthly inputs'!G11,'Monthly inputs'!H11,'Monthly inputs'!I11,'Monthly inputs'!S11,'Monthly inputs'!T11,'Monthly inputs'!U11,'Monthly inputs'!V11,'Monthly inputs'!W11)&gt;=0,MAX('Monthly inputs'!E11,'Monthly inputs'!F11,'Monthly inputs'!G11,'Monthly inputs'!H11,'Monthly inputs'!I11,'Monthly inputs'!S11,'Monthly inputs'!T11,'Monthly inputs'!U11,'Monthly inputs'!V11,'Monthly inputs'!W11)&lt;=100000000,'Monthly inputs'!E11=ROUND('Monthly inputs'!E11,2),'Monthly inputs'!F11=ROUND('Monthly inputs'!F11,2),'Monthly inputs'!G11=ROUND('Monthly inputs'!G11,2),'Monthly inputs'!H11=ROUND('Monthly inputs'!H11,2),'Monthly inputs'!I11=ROUND('Monthly inputs'!I11,2),'Monthly inputs'!S11=ROUND('Monthly inputs'!S11,2),'Monthly inputs'!T11=ROUND('Monthly inputs'!T11,2),'Monthly inputs'!U11=ROUND('Monthly inputs'!U11,2),'Monthly inputs'!V11=ROUND('Monthly inputs'!V11,2),'Monthly inputs'!W11=ROUND('Monthly inputs'!W11,2)),ISNUMBER('Monthly inputs'!B11),ISNUMBER('Monthly inputs'!C11),'Monthly inputs'!B11&lt;='Monthly inputs'!C11,TEXT('Monthly inputs'!B11,"yyyy-mm")='Monthly inputs'!A11,TEXT('Monthly inputs'!C11,"yyyy-mm")='Monthly inputs'!A11,OR('Monthly inputs'!D11="period",'Monthly inputs'!D11="whole_month"),'Monthly inputs'!B11='Monthly inputs'!C10+1,'Monthly inputs'!A11&lt;&gt;'Monthly inputs'!A10,LEN(TRIM('Monthly inputs'!AE11))&gt;0,LEN(TRIM('Monthly inputs'!AF11))&gt;0,LEN(TRIM('Monthly inputs'!AG11))&gt;0,LEN(TRIM('Monthly inputs'!AH11))&gt;0,'Monthly inputs'!AI11="Yes",'Monthly inputs'!AJ11="Yes",LEN(TRIM(Setup!B3))&gt;0,LEN(TRIM(Setup!B4))&gt;0,OR(Setup!B6="rupee",Setup!B6="paise"),OR(Setup!B8="Yes",Setup!B8="No"),IF(Setup!B5="manual",AND(COUNT('Monthly inputs'!N11,'Monthly inputs'!O11,'Monthly inputs'!P11,'Monthly inputs'!Q11,'Monthly inputs'!R11)=5,MIN('Monthly inputs'!N11,'Monthly inputs'!O11,'Monthly inputs'!P11,'Monthly inputs'!Q11,'Monthly inputs'!R11)&gt;=0,MAX('Monthly inputs'!N11,'Monthly inputs'!O11,'Monthly inputs'!P11,'Monthly inputs'!Q11,'Monthly inputs'!R11)&lt;=100000000,'Monthly inputs'!N11=ROUND('Monthly inputs'!N11,2),'Monthly inputs'!O11=ROUND('Monthly inputs'!O11,2),'Monthly inputs'!P11=ROUND('Monthly inputs'!P11,2),'Monthly inputs'!Q11=ROUND('Monthly inputs'!Q11,2),'Monthly inputs'!R11=ROUND('Monthly inputs'!R11,2)),IF(Setup!B5="increment",AND(COUNT('Monthly inputs'!J11,'Monthly inputs'!K11,'Monthly inputs'!L11)=3,MIN('Monthly inputs'!J11,'Monthly inputs'!K11,'Monthly inputs'!L11)&gt;=0,MAX('Monthly inputs'!J11,'Monthly inputs'!K11,'Monthly inputs'!L11)&lt;=100000000,'Monthly inputs'!J11=ROUND('Monthly inputs'!J11,2),'Monthly inputs'!K11&lt;=1000,'Monthly inputs'!L11&lt;=1000),IF(Setup!B5="da",AND(COUNT('Monthly inputs'!K11)=1,MIN('Monthly inputs'!K11)&gt;=0,MAX('Monthly inputs'!K11)&lt;=100000000,'Monthly inputs'!K11&lt;=1000),IF(Setup!B5="hra",AND(COUNT('Monthly inputs'!L11)=1,MIN('Monthly inputs'!L11)&gt;=0,MAX('Monthly inputs'!L11)&lt;=100000000,'Monthly inputs'!L11&lt;=1000),FALSE)))),IF(AND(OR(Setup!B5="increment",Setup!B5="da"),Setup!B8="Yes"),AND(COUNT('Monthly inputs'!M11)=1,MIN('Monthly inputs'!M11)&gt;=0,MAX('Monthly inputs'!M11)&lt;=100000000,'Monthly inputs'!M11&gt;0),TRUE),IF(Setup!B7="jodhpur_gpf_arrear",AND(AND(COUNT('Monthly inputs'!AB11,'Monthly inputs'!AC11,'Monthly inputs'!AD11,'Monthly inputs'!AA11)=4,MIN('Monthly inputs'!AB11,'Monthly inputs'!AC11,'Monthly inputs'!AD11,'Monthly inputs'!AA11)&gt;=0,MAX('Monthly inputs'!AB11,'Monthly inputs'!AC11,'Monthly inputs'!AD11,'Monthly inputs'!AA11)&lt;=100000000,'Monthly inputs'!AB11=ROUND('Monthly inputs'!AB11,2),'Monthly inputs'!AC11=ROUND('Monthly inputs'!AC11,2),'Monthly inputs'!AD11=ROUND('Monthly inputs'!AD11,2),'Monthly inputs'!AA11=ROUND('Monthly inputs'!AA11,2)),OR('Monthly inputs'!X11="",'Monthly inputs'!X11=0),OR('Monthly inputs'!Y11="",'Monthly inputs'!Y11=0),OR('Monthly inputs'!Z11="",'Monthly inputs'!Z11=0)),IF(Setup!B7="jodhpur_classic",AND(AND(COUNT('Monthly inputs'!X11,'Monthly inputs'!Y11,'Monthly inputs'!Z11,'Monthly inputs'!AA11)=4,MIN('Monthly inputs'!X11,'Monthly inputs'!Y11,'Monthly inputs'!Z11,'Monthly inputs'!AA11)&gt;=0,MAX('Monthly inputs'!X11,'Monthly inputs'!Y11,'Monthly inputs'!Z11,'Monthly inputs'!AA11)&lt;=100000000,'Monthly inputs'!X11=ROUND('Monthly inputs'!X11,2),'Monthly inputs'!Y11=ROUND('Monthly inputs'!Y11,2),'Monthly inputs'!Z11=ROUND('Monthly inputs'!Z11,2),'Monthly inputs'!AA11=ROUND('Monthly inputs'!AA11,2)),OR('Monthly inputs'!AB11="",'Monthly inputs'!AB11=0),OR('Monthly inputs'!AC11="",'Monthly inputs'!AC11=0),OR('Monthly inputs'!AD11="",'Monthly inputs'!AD11=0)),FALSE))),"OK","INCOMPLETE"),"INCOMPLETE"))</f>
        <v/>
      </c>
    </row>
    <row r="12" ht="36" customHeight="1">
      <c r="A12" s="13" t="inlineStr">
        <is>
          <t>2026-07</t>
        </is>
      </c>
      <c r="B12" s="14" t="n">
        <v>46204</v>
      </c>
      <c r="C12" s="14" t="n">
        <v>46234</v>
      </c>
      <c r="D12" s="13" t="inlineStr">
        <is>
          <t>period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>
        <f>IF(COUNTA('Monthly inputs'!A12:AP12)=0,"UNUSED",IFERROR(IF(AND(AND(COUNT('Monthly inputs'!E12,'Monthly inputs'!F12,'Monthly inputs'!G12,'Monthly inputs'!H12,'Monthly inputs'!I12,'Monthly inputs'!S12,'Monthly inputs'!T12,'Monthly inputs'!U12,'Monthly inputs'!V12,'Monthly inputs'!W12)=10,MIN('Monthly inputs'!E12,'Monthly inputs'!F12,'Monthly inputs'!G12,'Monthly inputs'!H12,'Monthly inputs'!I12,'Monthly inputs'!S12,'Monthly inputs'!T12,'Monthly inputs'!U12,'Monthly inputs'!V12,'Monthly inputs'!W12)&gt;=0,MAX('Monthly inputs'!E12,'Monthly inputs'!F12,'Monthly inputs'!G12,'Monthly inputs'!H12,'Monthly inputs'!I12,'Monthly inputs'!S12,'Monthly inputs'!T12,'Monthly inputs'!U12,'Monthly inputs'!V12,'Monthly inputs'!W12)&lt;=100000000,'Monthly inputs'!E12=ROUND('Monthly inputs'!E12,2),'Monthly inputs'!F12=ROUND('Monthly inputs'!F12,2),'Monthly inputs'!G12=ROUND('Monthly inputs'!G12,2),'Monthly inputs'!H12=ROUND('Monthly inputs'!H12,2),'Monthly inputs'!I12=ROUND('Monthly inputs'!I12,2),'Monthly inputs'!S12=ROUND('Monthly inputs'!S12,2),'Monthly inputs'!T12=ROUND('Monthly inputs'!T12,2),'Monthly inputs'!U12=ROUND('Monthly inputs'!U12,2),'Monthly inputs'!V12=ROUND('Monthly inputs'!V12,2),'Monthly inputs'!W12=ROUND('Monthly inputs'!W12,2)),ISNUMBER('Monthly inputs'!B12),ISNUMBER('Monthly inputs'!C12),'Monthly inputs'!B12&lt;='Monthly inputs'!C12,TEXT('Monthly inputs'!B12,"yyyy-mm")='Monthly inputs'!A12,TEXT('Monthly inputs'!C12,"yyyy-mm")='Monthly inputs'!A12,OR('Monthly inputs'!D12="period",'Monthly inputs'!D12="whole_month"),'Monthly inputs'!B12='Monthly inputs'!C11+1,'Monthly inputs'!A12&lt;&gt;'Monthly inputs'!A11,LEN(TRIM('Monthly inputs'!AE12))&gt;0,LEN(TRIM('Monthly inputs'!AF12))&gt;0,LEN(TRIM('Monthly inputs'!AG12))&gt;0,LEN(TRIM('Monthly inputs'!AH12))&gt;0,'Monthly inputs'!AI12="Yes",'Monthly inputs'!AJ12="Yes",LEN(TRIM(Setup!B3))&gt;0,LEN(TRIM(Setup!B4))&gt;0,OR(Setup!B6="rupee",Setup!B6="paise"),OR(Setup!B8="Yes",Setup!B8="No"),IF(Setup!B5="manual",AND(COUNT('Monthly inputs'!N12,'Monthly inputs'!O12,'Monthly inputs'!P12,'Monthly inputs'!Q12,'Monthly inputs'!R12)=5,MIN('Monthly inputs'!N12,'Monthly inputs'!O12,'Monthly inputs'!P12,'Monthly inputs'!Q12,'Monthly inputs'!R12)&gt;=0,MAX('Monthly inputs'!N12,'Monthly inputs'!O12,'Monthly inputs'!P12,'Monthly inputs'!Q12,'Monthly inputs'!R12)&lt;=100000000,'Monthly inputs'!N12=ROUND('Monthly inputs'!N12,2),'Monthly inputs'!O12=ROUND('Monthly inputs'!O12,2),'Monthly inputs'!P12=ROUND('Monthly inputs'!P12,2),'Monthly inputs'!Q12=ROUND('Monthly inputs'!Q12,2),'Monthly inputs'!R12=ROUND('Monthly inputs'!R12,2)),IF(Setup!B5="increment",AND(COUNT('Monthly inputs'!J12,'Monthly inputs'!K12,'Monthly inputs'!L12)=3,MIN('Monthly inputs'!J12,'Monthly inputs'!K12,'Monthly inputs'!L12)&gt;=0,MAX('Monthly inputs'!J12,'Monthly inputs'!K12,'Monthly inputs'!L12)&lt;=100000000,'Monthly inputs'!J12=ROUND('Monthly inputs'!J12,2),'Monthly inputs'!K12&lt;=1000,'Monthly inputs'!L12&lt;=1000),IF(Setup!B5="da",AND(COUNT('Monthly inputs'!K12)=1,MIN('Monthly inputs'!K12)&gt;=0,MAX('Monthly inputs'!K12)&lt;=100000000,'Monthly inputs'!K12&lt;=1000),IF(Setup!B5="hra",AND(COUNT('Monthly inputs'!L12)=1,MIN('Monthly inputs'!L12)&gt;=0,MAX('Monthly inputs'!L12)&lt;=100000000,'Monthly inputs'!L12&lt;=1000),FALSE)))),IF(AND(OR(Setup!B5="increment",Setup!B5="da"),Setup!B8="Yes"),AND(COUNT('Monthly inputs'!M12)=1,MIN('Monthly inputs'!M12)&gt;=0,MAX('Monthly inputs'!M12)&lt;=100000000,'Monthly inputs'!M12&gt;0),TRUE),IF(Setup!B7="jodhpur_gpf_arrear",AND(AND(COUNT('Monthly inputs'!AB12,'Monthly inputs'!AC12,'Monthly inputs'!AD12,'Monthly inputs'!AA12)=4,MIN('Monthly inputs'!AB12,'Monthly inputs'!AC12,'Monthly inputs'!AD12,'Monthly inputs'!AA12)&gt;=0,MAX('Monthly inputs'!AB12,'Monthly inputs'!AC12,'Monthly inputs'!AD12,'Monthly inputs'!AA12)&lt;=100000000,'Monthly inputs'!AB12=ROUND('Monthly inputs'!AB12,2),'Monthly inputs'!AC12=ROUND('Monthly inputs'!AC12,2),'Monthly inputs'!AD12=ROUND('Monthly inputs'!AD12,2),'Monthly inputs'!AA12=ROUND('Monthly inputs'!AA12,2)),OR('Monthly inputs'!X12="",'Monthly inputs'!X12=0),OR('Monthly inputs'!Y12="",'Monthly inputs'!Y12=0),OR('Monthly inputs'!Z12="",'Monthly inputs'!Z12=0)),IF(Setup!B7="jodhpur_classic",AND(AND(COUNT('Monthly inputs'!X12,'Monthly inputs'!Y12,'Monthly inputs'!Z12,'Monthly inputs'!AA12)=4,MIN('Monthly inputs'!X12,'Monthly inputs'!Y12,'Monthly inputs'!Z12,'Monthly inputs'!AA12)&gt;=0,MAX('Monthly inputs'!X12,'Monthly inputs'!Y12,'Monthly inputs'!Z12,'Monthly inputs'!AA12)&lt;=100000000,'Monthly inputs'!X12=ROUND('Monthly inputs'!X12,2),'Monthly inputs'!Y12=ROUND('Monthly inputs'!Y12,2),'Monthly inputs'!Z12=ROUND('Monthly inputs'!Z12,2),'Monthly inputs'!AA12=ROUND('Monthly inputs'!AA12,2)),OR('Monthly inputs'!AB12="",'Monthly inputs'!AB12=0),OR('Monthly inputs'!AC12="",'Monthly inputs'!AC12=0),OR('Monthly inputs'!AD12="",'Monthly inputs'!AD12=0)),FALSE))),"OK","INCOMPLETE"),"INCOMPLETE"))</f>
        <v/>
      </c>
    </row>
    <row r="13" ht="36" customHeight="1">
      <c r="A13" s="13" t="inlineStr">
        <is>
          <t>2026-08</t>
        </is>
      </c>
      <c r="B13" s="14" t="n">
        <v>46235</v>
      </c>
      <c r="C13" s="14" t="n">
        <v>46265</v>
      </c>
      <c r="D13" s="13" t="inlineStr">
        <is>
          <t>period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>
        <f>IF(COUNTA('Monthly inputs'!A13:AP13)=0,"UNUSED",IFERROR(IF(AND(AND(COUNT('Monthly inputs'!E13,'Monthly inputs'!F13,'Monthly inputs'!G13,'Monthly inputs'!H13,'Monthly inputs'!I13,'Monthly inputs'!S13,'Monthly inputs'!T13,'Monthly inputs'!U13,'Monthly inputs'!V13,'Monthly inputs'!W13)=10,MIN('Monthly inputs'!E13,'Monthly inputs'!F13,'Monthly inputs'!G13,'Monthly inputs'!H13,'Monthly inputs'!I13,'Monthly inputs'!S13,'Monthly inputs'!T13,'Monthly inputs'!U13,'Monthly inputs'!V13,'Monthly inputs'!W13)&gt;=0,MAX('Monthly inputs'!E13,'Monthly inputs'!F13,'Monthly inputs'!G13,'Monthly inputs'!H13,'Monthly inputs'!I13,'Monthly inputs'!S13,'Monthly inputs'!T13,'Monthly inputs'!U13,'Monthly inputs'!V13,'Monthly inputs'!W13)&lt;=100000000,'Monthly inputs'!E13=ROUND('Monthly inputs'!E13,2),'Monthly inputs'!F13=ROUND('Monthly inputs'!F13,2),'Monthly inputs'!G13=ROUND('Monthly inputs'!G13,2),'Monthly inputs'!H13=ROUND('Monthly inputs'!H13,2),'Monthly inputs'!I13=ROUND('Monthly inputs'!I13,2),'Monthly inputs'!S13=ROUND('Monthly inputs'!S13,2),'Monthly inputs'!T13=ROUND('Monthly inputs'!T13,2),'Monthly inputs'!U13=ROUND('Monthly inputs'!U13,2),'Monthly inputs'!V13=ROUND('Monthly inputs'!V13,2),'Monthly inputs'!W13=ROUND('Monthly inputs'!W13,2)),ISNUMBER('Monthly inputs'!B13),ISNUMBER('Monthly inputs'!C13),'Monthly inputs'!B13&lt;='Monthly inputs'!C13,TEXT('Monthly inputs'!B13,"yyyy-mm")='Monthly inputs'!A13,TEXT('Monthly inputs'!C13,"yyyy-mm")='Monthly inputs'!A13,OR('Monthly inputs'!D13="period",'Monthly inputs'!D13="whole_month"),'Monthly inputs'!B13='Monthly inputs'!C12+1,'Monthly inputs'!A13&lt;&gt;'Monthly inputs'!A12,LEN(TRIM('Monthly inputs'!AE13))&gt;0,LEN(TRIM('Monthly inputs'!AF13))&gt;0,LEN(TRIM('Monthly inputs'!AG13))&gt;0,LEN(TRIM('Monthly inputs'!AH13))&gt;0,'Monthly inputs'!AI13="Yes",'Monthly inputs'!AJ13="Yes",LEN(TRIM(Setup!B3))&gt;0,LEN(TRIM(Setup!B4))&gt;0,OR(Setup!B6="rupee",Setup!B6="paise"),OR(Setup!B8="Yes",Setup!B8="No"),IF(Setup!B5="manual",AND(COUNT('Monthly inputs'!N13,'Monthly inputs'!O13,'Monthly inputs'!P13,'Monthly inputs'!Q13,'Monthly inputs'!R13)=5,MIN('Monthly inputs'!N13,'Monthly inputs'!O13,'Monthly inputs'!P13,'Monthly inputs'!Q13,'Monthly inputs'!R13)&gt;=0,MAX('Monthly inputs'!N13,'Monthly inputs'!O13,'Monthly inputs'!P13,'Monthly inputs'!Q13,'Monthly inputs'!R13)&lt;=100000000,'Monthly inputs'!N13=ROUND('Monthly inputs'!N13,2),'Monthly inputs'!O13=ROUND('Monthly inputs'!O13,2),'Monthly inputs'!P13=ROUND('Monthly inputs'!P13,2),'Monthly inputs'!Q13=ROUND('Monthly inputs'!Q13,2),'Monthly inputs'!R13=ROUND('Monthly inputs'!R13,2)),IF(Setup!B5="increment",AND(COUNT('Monthly inputs'!J13,'Monthly inputs'!K13,'Monthly inputs'!L13)=3,MIN('Monthly inputs'!J13,'Monthly inputs'!K13,'Monthly inputs'!L13)&gt;=0,MAX('Monthly inputs'!J13,'Monthly inputs'!K13,'Monthly inputs'!L13)&lt;=100000000,'Monthly inputs'!J13=ROUND('Monthly inputs'!J13,2),'Monthly inputs'!K13&lt;=1000,'Monthly inputs'!L13&lt;=1000),IF(Setup!B5="da",AND(COUNT('Monthly inputs'!K13)=1,MIN('Monthly inputs'!K13)&gt;=0,MAX('Monthly inputs'!K13)&lt;=100000000,'Monthly inputs'!K13&lt;=1000),IF(Setup!B5="hra",AND(COUNT('Monthly inputs'!L13)=1,MIN('Monthly inputs'!L13)&gt;=0,MAX('Monthly inputs'!L13)&lt;=100000000,'Monthly inputs'!L13&lt;=1000),FALSE)))),IF(AND(OR(Setup!B5="increment",Setup!B5="da"),Setup!B8="Yes"),AND(COUNT('Monthly inputs'!M13)=1,MIN('Monthly inputs'!M13)&gt;=0,MAX('Monthly inputs'!M13)&lt;=100000000,'Monthly inputs'!M13&gt;0),TRUE),IF(Setup!B7="jodhpur_gpf_arrear",AND(AND(COUNT('Monthly inputs'!AB13,'Monthly inputs'!AC13,'Monthly inputs'!AD13,'Monthly inputs'!AA13)=4,MIN('Monthly inputs'!AB13,'Monthly inputs'!AC13,'Monthly inputs'!AD13,'Monthly inputs'!AA13)&gt;=0,MAX('Monthly inputs'!AB13,'Monthly inputs'!AC13,'Monthly inputs'!AD13,'Monthly inputs'!AA13)&lt;=100000000,'Monthly inputs'!AB13=ROUND('Monthly inputs'!AB13,2),'Monthly inputs'!AC13=ROUND('Monthly inputs'!AC13,2),'Monthly inputs'!AD13=ROUND('Monthly inputs'!AD13,2),'Monthly inputs'!AA13=ROUND('Monthly inputs'!AA13,2)),OR('Monthly inputs'!X13="",'Monthly inputs'!X13=0),OR('Monthly inputs'!Y13="",'Monthly inputs'!Y13=0),OR('Monthly inputs'!Z13="",'Monthly inputs'!Z13=0)),IF(Setup!B7="jodhpur_classic",AND(AND(COUNT('Monthly inputs'!X13,'Monthly inputs'!Y13,'Monthly inputs'!Z13,'Monthly inputs'!AA13)=4,MIN('Monthly inputs'!X13,'Monthly inputs'!Y13,'Monthly inputs'!Z13,'Monthly inputs'!AA13)&gt;=0,MAX('Monthly inputs'!X13,'Monthly inputs'!Y13,'Monthly inputs'!Z13,'Monthly inputs'!AA13)&lt;=100000000,'Monthly inputs'!X13=ROUND('Monthly inputs'!X13,2),'Monthly inputs'!Y13=ROUND('Monthly inputs'!Y13,2),'Monthly inputs'!Z13=ROUND('Monthly inputs'!Z13,2),'Monthly inputs'!AA13=ROUND('Monthly inputs'!AA13,2)),OR('Monthly inputs'!AB13="",'Monthly inputs'!AB13=0),OR('Monthly inputs'!AC13="",'Monthly inputs'!AC13=0),OR('Monthly inputs'!AD13="",'Monthly inputs'!AD13=0)),FALSE))),"OK","INCOMPLETE"),"INCOMPLETE"))</f>
        <v/>
      </c>
    </row>
    <row r="14" ht="36" customHeight="1">
      <c r="A14" s="13" t="inlineStr">
        <is>
          <t>2026-09</t>
        </is>
      </c>
      <c r="B14" s="14" t="n">
        <v>46266</v>
      </c>
      <c r="C14" s="14" t="n">
        <v>46295</v>
      </c>
      <c r="D14" s="13" t="inlineStr">
        <is>
          <t>period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>
        <f>IF(COUNTA('Monthly inputs'!A14:AP14)=0,"UNUSED",IFERROR(IF(AND(AND(COUNT('Monthly inputs'!E14,'Monthly inputs'!F14,'Monthly inputs'!G14,'Monthly inputs'!H14,'Monthly inputs'!I14,'Monthly inputs'!S14,'Monthly inputs'!T14,'Monthly inputs'!U14,'Monthly inputs'!V14,'Monthly inputs'!W14)=10,MIN('Monthly inputs'!E14,'Monthly inputs'!F14,'Monthly inputs'!G14,'Monthly inputs'!H14,'Monthly inputs'!I14,'Monthly inputs'!S14,'Monthly inputs'!T14,'Monthly inputs'!U14,'Monthly inputs'!V14,'Monthly inputs'!W14)&gt;=0,MAX('Monthly inputs'!E14,'Monthly inputs'!F14,'Monthly inputs'!G14,'Monthly inputs'!H14,'Monthly inputs'!I14,'Monthly inputs'!S14,'Monthly inputs'!T14,'Monthly inputs'!U14,'Monthly inputs'!V14,'Monthly inputs'!W14)&lt;=100000000,'Monthly inputs'!E14=ROUND('Monthly inputs'!E14,2),'Monthly inputs'!F14=ROUND('Monthly inputs'!F14,2),'Monthly inputs'!G14=ROUND('Monthly inputs'!G14,2),'Monthly inputs'!H14=ROUND('Monthly inputs'!H14,2),'Monthly inputs'!I14=ROUND('Monthly inputs'!I14,2),'Monthly inputs'!S14=ROUND('Monthly inputs'!S14,2),'Monthly inputs'!T14=ROUND('Monthly inputs'!T14,2),'Monthly inputs'!U14=ROUND('Monthly inputs'!U14,2),'Monthly inputs'!V14=ROUND('Monthly inputs'!V14,2),'Monthly inputs'!W14=ROUND('Monthly inputs'!W14,2)),ISNUMBER('Monthly inputs'!B14),ISNUMBER('Monthly inputs'!C14),'Monthly inputs'!B14&lt;='Monthly inputs'!C14,TEXT('Monthly inputs'!B14,"yyyy-mm")='Monthly inputs'!A14,TEXT('Monthly inputs'!C14,"yyyy-mm")='Monthly inputs'!A14,OR('Monthly inputs'!D14="period",'Monthly inputs'!D14="whole_month"),'Monthly inputs'!B14='Monthly inputs'!C13+1,'Monthly inputs'!A14&lt;&gt;'Monthly inputs'!A13,LEN(TRIM('Monthly inputs'!AE14))&gt;0,LEN(TRIM('Monthly inputs'!AF14))&gt;0,LEN(TRIM('Monthly inputs'!AG14))&gt;0,LEN(TRIM('Monthly inputs'!AH14))&gt;0,'Monthly inputs'!AI14="Yes",'Monthly inputs'!AJ14="Yes",LEN(TRIM(Setup!B3))&gt;0,LEN(TRIM(Setup!B4))&gt;0,OR(Setup!B6="rupee",Setup!B6="paise"),OR(Setup!B8="Yes",Setup!B8="No"),IF(Setup!B5="manual",AND(COUNT('Monthly inputs'!N14,'Monthly inputs'!O14,'Monthly inputs'!P14,'Monthly inputs'!Q14,'Monthly inputs'!R14)=5,MIN('Monthly inputs'!N14,'Monthly inputs'!O14,'Monthly inputs'!P14,'Monthly inputs'!Q14,'Monthly inputs'!R14)&gt;=0,MAX('Monthly inputs'!N14,'Monthly inputs'!O14,'Monthly inputs'!P14,'Monthly inputs'!Q14,'Monthly inputs'!R14)&lt;=100000000,'Monthly inputs'!N14=ROUND('Monthly inputs'!N14,2),'Monthly inputs'!O14=ROUND('Monthly inputs'!O14,2),'Monthly inputs'!P14=ROUND('Monthly inputs'!P14,2),'Monthly inputs'!Q14=ROUND('Monthly inputs'!Q14,2),'Monthly inputs'!R14=ROUND('Monthly inputs'!R14,2)),IF(Setup!B5="increment",AND(COUNT('Monthly inputs'!J14,'Monthly inputs'!K14,'Monthly inputs'!L14)=3,MIN('Monthly inputs'!J14,'Monthly inputs'!K14,'Monthly inputs'!L14)&gt;=0,MAX('Monthly inputs'!J14,'Monthly inputs'!K14,'Monthly inputs'!L14)&lt;=100000000,'Monthly inputs'!J14=ROUND('Monthly inputs'!J14,2),'Monthly inputs'!K14&lt;=1000,'Monthly inputs'!L14&lt;=1000),IF(Setup!B5="da",AND(COUNT('Monthly inputs'!K14)=1,MIN('Monthly inputs'!K14)&gt;=0,MAX('Monthly inputs'!K14)&lt;=100000000,'Monthly inputs'!K14&lt;=1000),IF(Setup!B5="hra",AND(COUNT('Monthly inputs'!L14)=1,MIN('Monthly inputs'!L14)&gt;=0,MAX('Monthly inputs'!L14)&lt;=100000000,'Monthly inputs'!L14&lt;=1000),FALSE)))),IF(AND(OR(Setup!B5="increment",Setup!B5="da"),Setup!B8="Yes"),AND(COUNT('Monthly inputs'!M14)=1,MIN('Monthly inputs'!M14)&gt;=0,MAX('Monthly inputs'!M14)&lt;=100000000,'Monthly inputs'!M14&gt;0),TRUE),IF(Setup!B7="jodhpur_gpf_arrear",AND(AND(COUNT('Monthly inputs'!AB14,'Monthly inputs'!AC14,'Monthly inputs'!AD14,'Monthly inputs'!AA14)=4,MIN('Monthly inputs'!AB14,'Monthly inputs'!AC14,'Monthly inputs'!AD14,'Monthly inputs'!AA14)&gt;=0,MAX('Monthly inputs'!AB14,'Monthly inputs'!AC14,'Monthly inputs'!AD14,'Monthly inputs'!AA14)&lt;=100000000,'Monthly inputs'!AB14=ROUND('Monthly inputs'!AB14,2),'Monthly inputs'!AC14=ROUND('Monthly inputs'!AC14,2),'Monthly inputs'!AD14=ROUND('Monthly inputs'!AD14,2),'Monthly inputs'!AA14=ROUND('Monthly inputs'!AA14,2)),OR('Monthly inputs'!X14="",'Monthly inputs'!X14=0),OR('Monthly inputs'!Y14="",'Monthly inputs'!Y14=0),OR('Monthly inputs'!Z14="",'Monthly inputs'!Z14=0)),IF(Setup!B7="jodhpur_classic",AND(AND(COUNT('Monthly inputs'!X14,'Monthly inputs'!Y14,'Monthly inputs'!Z14,'Monthly inputs'!AA14)=4,MIN('Monthly inputs'!X14,'Monthly inputs'!Y14,'Monthly inputs'!Z14,'Monthly inputs'!AA14)&gt;=0,MAX('Monthly inputs'!X14,'Monthly inputs'!Y14,'Monthly inputs'!Z14,'Monthly inputs'!AA14)&lt;=100000000,'Monthly inputs'!X14=ROUND('Monthly inputs'!X14,2),'Monthly inputs'!Y14=ROUND('Monthly inputs'!Y14,2),'Monthly inputs'!Z14=ROUND('Monthly inputs'!Z14,2),'Monthly inputs'!AA14=ROUND('Monthly inputs'!AA14,2)),OR('Monthly inputs'!AB14="",'Monthly inputs'!AB14=0),OR('Monthly inputs'!AC14="",'Monthly inputs'!AC14=0),OR('Monthly inputs'!AD14="",'Monthly inputs'!AD14=0)),FALSE))),"OK","INCOMPLETE"),"INCOMPLETE"))</f>
        <v/>
      </c>
    </row>
    <row r="15" ht="36" customHeight="1">
      <c r="A15" s="13" t="inlineStr">
        <is>
          <t>2026-10</t>
        </is>
      </c>
      <c r="B15" s="14" t="n">
        <v>46296</v>
      </c>
      <c r="C15" s="14" t="n">
        <v>46326</v>
      </c>
      <c r="D15" s="13" t="inlineStr">
        <is>
          <t>period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>
        <f>IF(COUNTA('Monthly inputs'!A15:AP15)=0,"UNUSED",IFERROR(IF(AND(AND(COUNT('Monthly inputs'!E15,'Monthly inputs'!F15,'Monthly inputs'!G15,'Monthly inputs'!H15,'Monthly inputs'!I15,'Monthly inputs'!S15,'Monthly inputs'!T15,'Monthly inputs'!U15,'Monthly inputs'!V15,'Monthly inputs'!W15)=10,MIN('Monthly inputs'!E15,'Monthly inputs'!F15,'Monthly inputs'!G15,'Monthly inputs'!H15,'Monthly inputs'!I15,'Monthly inputs'!S15,'Monthly inputs'!T15,'Monthly inputs'!U15,'Monthly inputs'!V15,'Monthly inputs'!W15)&gt;=0,MAX('Monthly inputs'!E15,'Monthly inputs'!F15,'Monthly inputs'!G15,'Monthly inputs'!H15,'Monthly inputs'!I15,'Monthly inputs'!S15,'Monthly inputs'!T15,'Monthly inputs'!U15,'Monthly inputs'!V15,'Monthly inputs'!W15)&lt;=100000000,'Monthly inputs'!E15=ROUND('Monthly inputs'!E15,2),'Monthly inputs'!F15=ROUND('Monthly inputs'!F15,2),'Monthly inputs'!G15=ROUND('Monthly inputs'!G15,2),'Monthly inputs'!H15=ROUND('Monthly inputs'!H15,2),'Monthly inputs'!I15=ROUND('Monthly inputs'!I15,2),'Monthly inputs'!S15=ROUND('Monthly inputs'!S15,2),'Monthly inputs'!T15=ROUND('Monthly inputs'!T15,2),'Monthly inputs'!U15=ROUND('Monthly inputs'!U15,2),'Monthly inputs'!V15=ROUND('Monthly inputs'!V15,2),'Monthly inputs'!W15=ROUND('Monthly inputs'!W15,2)),ISNUMBER('Monthly inputs'!B15),ISNUMBER('Monthly inputs'!C15),'Monthly inputs'!B15&lt;='Monthly inputs'!C15,TEXT('Monthly inputs'!B15,"yyyy-mm")='Monthly inputs'!A15,TEXT('Monthly inputs'!C15,"yyyy-mm")='Monthly inputs'!A15,OR('Monthly inputs'!D15="period",'Monthly inputs'!D15="whole_month"),'Monthly inputs'!B15='Monthly inputs'!C14+1,'Monthly inputs'!A15&lt;&gt;'Monthly inputs'!A14,LEN(TRIM('Monthly inputs'!AE15))&gt;0,LEN(TRIM('Monthly inputs'!AF15))&gt;0,LEN(TRIM('Monthly inputs'!AG15))&gt;0,LEN(TRIM('Monthly inputs'!AH15))&gt;0,'Monthly inputs'!AI15="Yes",'Monthly inputs'!AJ15="Yes",LEN(TRIM(Setup!B3))&gt;0,LEN(TRIM(Setup!B4))&gt;0,OR(Setup!B6="rupee",Setup!B6="paise"),OR(Setup!B8="Yes",Setup!B8="No"),IF(Setup!B5="manual",AND(COUNT('Monthly inputs'!N15,'Monthly inputs'!O15,'Monthly inputs'!P15,'Monthly inputs'!Q15,'Monthly inputs'!R15)=5,MIN('Monthly inputs'!N15,'Monthly inputs'!O15,'Monthly inputs'!P15,'Monthly inputs'!Q15,'Monthly inputs'!R15)&gt;=0,MAX('Monthly inputs'!N15,'Monthly inputs'!O15,'Monthly inputs'!P15,'Monthly inputs'!Q15,'Monthly inputs'!R15)&lt;=100000000,'Monthly inputs'!N15=ROUND('Monthly inputs'!N15,2),'Monthly inputs'!O15=ROUND('Monthly inputs'!O15,2),'Monthly inputs'!P15=ROUND('Monthly inputs'!P15,2),'Monthly inputs'!Q15=ROUND('Monthly inputs'!Q15,2),'Monthly inputs'!R15=ROUND('Monthly inputs'!R15,2)),IF(Setup!B5="increment",AND(COUNT('Monthly inputs'!J15,'Monthly inputs'!K15,'Monthly inputs'!L15)=3,MIN('Monthly inputs'!J15,'Monthly inputs'!K15,'Monthly inputs'!L15)&gt;=0,MAX('Monthly inputs'!J15,'Monthly inputs'!K15,'Monthly inputs'!L15)&lt;=100000000,'Monthly inputs'!J15=ROUND('Monthly inputs'!J15,2),'Monthly inputs'!K15&lt;=1000,'Monthly inputs'!L15&lt;=1000),IF(Setup!B5="da",AND(COUNT('Monthly inputs'!K15)=1,MIN('Monthly inputs'!K15)&gt;=0,MAX('Monthly inputs'!K15)&lt;=100000000,'Monthly inputs'!K15&lt;=1000),IF(Setup!B5="hra",AND(COUNT('Monthly inputs'!L15)=1,MIN('Monthly inputs'!L15)&gt;=0,MAX('Monthly inputs'!L15)&lt;=100000000,'Monthly inputs'!L15&lt;=1000),FALSE)))),IF(AND(OR(Setup!B5="increment",Setup!B5="da"),Setup!B8="Yes"),AND(COUNT('Monthly inputs'!M15)=1,MIN('Monthly inputs'!M15)&gt;=0,MAX('Monthly inputs'!M15)&lt;=100000000,'Monthly inputs'!M15&gt;0),TRUE),IF(Setup!B7="jodhpur_gpf_arrear",AND(AND(COUNT('Monthly inputs'!AB15,'Monthly inputs'!AC15,'Monthly inputs'!AD15,'Monthly inputs'!AA15)=4,MIN('Monthly inputs'!AB15,'Monthly inputs'!AC15,'Monthly inputs'!AD15,'Monthly inputs'!AA15)&gt;=0,MAX('Monthly inputs'!AB15,'Monthly inputs'!AC15,'Monthly inputs'!AD15,'Monthly inputs'!AA15)&lt;=100000000,'Monthly inputs'!AB15=ROUND('Monthly inputs'!AB15,2),'Monthly inputs'!AC15=ROUND('Monthly inputs'!AC15,2),'Monthly inputs'!AD15=ROUND('Monthly inputs'!AD15,2),'Monthly inputs'!AA15=ROUND('Monthly inputs'!AA15,2)),OR('Monthly inputs'!X15="",'Monthly inputs'!X15=0),OR('Monthly inputs'!Y15="",'Monthly inputs'!Y15=0),OR('Monthly inputs'!Z15="",'Monthly inputs'!Z15=0)),IF(Setup!B7="jodhpur_classic",AND(AND(COUNT('Monthly inputs'!X15,'Monthly inputs'!Y15,'Monthly inputs'!Z15,'Monthly inputs'!AA15)=4,MIN('Monthly inputs'!X15,'Monthly inputs'!Y15,'Monthly inputs'!Z15,'Monthly inputs'!AA15)&gt;=0,MAX('Monthly inputs'!X15,'Monthly inputs'!Y15,'Monthly inputs'!Z15,'Monthly inputs'!AA15)&lt;=100000000,'Monthly inputs'!X15=ROUND('Monthly inputs'!X15,2),'Monthly inputs'!Y15=ROUND('Monthly inputs'!Y15,2),'Monthly inputs'!Z15=ROUND('Monthly inputs'!Z15,2),'Monthly inputs'!AA15=ROUND('Monthly inputs'!AA15,2)),OR('Monthly inputs'!AB15="",'Monthly inputs'!AB15=0),OR('Monthly inputs'!AC15="",'Monthly inputs'!AC15=0),OR('Monthly inputs'!AD15="",'Monthly inputs'!AD15=0)),FALSE))),"OK","INCOMPLETE"),"INCOMPLETE"))</f>
        <v/>
      </c>
    </row>
    <row r="16" ht="36" customHeight="1">
      <c r="A16" s="13" t="inlineStr">
        <is>
          <t>2026-11</t>
        </is>
      </c>
      <c r="B16" s="14" t="n">
        <v>46327</v>
      </c>
      <c r="C16" s="14" t="n">
        <v>46356</v>
      </c>
      <c r="D16" s="13" t="inlineStr">
        <is>
          <t>period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>
        <f>IF(COUNTA('Monthly inputs'!A16:AP16)=0,"UNUSED",IFERROR(IF(AND(AND(COUNT('Monthly inputs'!E16,'Monthly inputs'!F16,'Monthly inputs'!G16,'Monthly inputs'!H16,'Monthly inputs'!I16,'Monthly inputs'!S16,'Monthly inputs'!T16,'Monthly inputs'!U16,'Monthly inputs'!V16,'Monthly inputs'!W16)=10,MIN('Monthly inputs'!E16,'Monthly inputs'!F16,'Monthly inputs'!G16,'Monthly inputs'!H16,'Monthly inputs'!I16,'Monthly inputs'!S16,'Monthly inputs'!T16,'Monthly inputs'!U16,'Monthly inputs'!V16,'Monthly inputs'!W16)&gt;=0,MAX('Monthly inputs'!E16,'Monthly inputs'!F16,'Monthly inputs'!G16,'Monthly inputs'!H16,'Monthly inputs'!I16,'Monthly inputs'!S16,'Monthly inputs'!T16,'Monthly inputs'!U16,'Monthly inputs'!V16,'Monthly inputs'!W16)&lt;=100000000,'Monthly inputs'!E16=ROUND('Monthly inputs'!E16,2),'Monthly inputs'!F16=ROUND('Monthly inputs'!F16,2),'Monthly inputs'!G16=ROUND('Monthly inputs'!G16,2),'Monthly inputs'!H16=ROUND('Monthly inputs'!H16,2),'Monthly inputs'!I16=ROUND('Monthly inputs'!I16,2),'Monthly inputs'!S16=ROUND('Monthly inputs'!S16,2),'Monthly inputs'!T16=ROUND('Monthly inputs'!T16,2),'Monthly inputs'!U16=ROUND('Monthly inputs'!U16,2),'Monthly inputs'!V16=ROUND('Monthly inputs'!V16,2),'Monthly inputs'!W16=ROUND('Monthly inputs'!W16,2)),ISNUMBER('Monthly inputs'!B16),ISNUMBER('Monthly inputs'!C16),'Monthly inputs'!B16&lt;='Monthly inputs'!C16,TEXT('Monthly inputs'!B16,"yyyy-mm")='Monthly inputs'!A16,TEXT('Monthly inputs'!C16,"yyyy-mm")='Monthly inputs'!A16,OR('Monthly inputs'!D16="period",'Monthly inputs'!D16="whole_month"),'Monthly inputs'!B16='Monthly inputs'!C15+1,'Monthly inputs'!A16&lt;&gt;'Monthly inputs'!A15,LEN(TRIM('Monthly inputs'!AE16))&gt;0,LEN(TRIM('Monthly inputs'!AF16))&gt;0,LEN(TRIM('Monthly inputs'!AG16))&gt;0,LEN(TRIM('Monthly inputs'!AH16))&gt;0,'Monthly inputs'!AI16="Yes",'Monthly inputs'!AJ16="Yes",LEN(TRIM(Setup!B3))&gt;0,LEN(TRIM(Setup!B4))&gt;0,OR(Setup!B6="rupee",Setup!B6="paise"),OR(Setup!B8="Yes",Setup!B8="No"),IF(Setup!B5="manual",AND(COUNT('Monthly inputs'!N16,'Monthly inputs'!O16,'Monthly inputs'!P16,'Monthly inputs'!Q16,'Monthly inputs'!R16)=5,MIN('Monthly inputs'!N16,'Monthly inputs'!O16,'Monthly inputs'!P16,'Monthly inputs'!Q16,'Monthly inputs'!R16)&gt;=0,MAX('Monthly inputs'!N16,'Monthly inputs'!O16,'Monthly inputs'!P16,'Monthly inputs'!Q16,'Monthly inputs'!R16)&lt;=100000000,'Monthly inputs'!N16=ROUND('Monthly inputs'!N16,2),'Monthly inputs'!O16=ROUND('Monthly inputs'!O16,2),'Monthly inputs'!P16=ROUND('Monthly inputs'!P16,2),'Monthly inputs'!Q16=ROUND('Monthly inputs'!Q16,2),'Monthly inputs'!R16=ROUND('Monthly inputs'!R16,2)),IF(Setup!B5="increment",AND(COUNT('Monthly inputs'!J16,'Monthly inputs'!K16,'Monthly inputs'!L16)=3,MIN('Monthly inputs'!J16,'Monthly inputs'!K16,'Monthly inputs'!L16)&gt;=0,MAX('Monthly inputs'!J16,'Monthly inputs'!K16,'Monthly inputs'!L16)&lt;=100000000,'Monthly inputs'!J16=ROUND('Monthly inputs'!J16,2),'Monthly inputs'!K16&lt;=1000,'Monthly inputs'!L16&lt;=1000),IF(Setup!B5="da",AND(COUNT('Monthly inputs'!K16)=1,MIN('Monthly inputs'!K16)&gt;=0,MAX('Monthly inputs'!K16)&lt;=100000000,'Monthly inputs'!K16&lt;=1000),IF(Setup!B5="hra",AND(COUNT('Monthly inputs'!L16)=1,MIN('Monthly inputs'!L16)&gt;=0,MAX('Monthly inputs'!L16)&lt;=100000000,'Monthly inputs'!L16&lt;=1000),FALSE)))),IF(AND(OR(Setup!B5="increment",Setup!B5="da"),Setup!B8="Yes"),AND(COUNT('Monthly inputs'!M16)=1,MIN('Monthly inputs'!M16)&gt;=0,MAX('Monthly inputs'!M16)&lt;=100000000,'Monthly inputs'!M16&gt;0),TRUE),IF(Setup!B7="jodhpur_gpf_arrear",AND(AND(COUNT('Monthly inputs'!AB16,'Monthly inputs'!AC16,'Monthly inputs'!AD16,'Monthly inputs'!AA16)=4,MIN('Monthly inputs'!AB16,'Monthly inputs'!AC16,'Monthly inputs'!AD16,'Monthly inputs'!AA16)&gt;=0,MAX('Monthly inputs'!AB16,'Monthly inputs'!AC16,'Monthly inputs'!AD16,'Monthly inputs'!AA16)&lt;=100000000,'Monthly inputs'!AB16=ROUND('Monthly inputs'!AB16,2),'Monthly inputs'!AC16=ROUND('Monthly inputs'!AC16,2),'Monthly inputs'!AD16=ROUND('Monthly inputs'!AD16,2),'Monthly inputs'!AA16=ROUND('Monthly inputs'!AA16,2)),OR('Monthly inputs'!X16="",'Monthly inputs'!X16=0),OR('Monthly inputs'!Y16="",'Monthly inputs'!Y16=0),OR('Monthly inputs'!Z16="",'Monthly inputs'!Z16=0)),IF(Setup!B7="jodhpur_classic",AND(AND(COUNT('Monthly inputs'!X16,'Monthly inputs'!Y16,'Monthly inputs'!Z16,'Monthly inputs'!AA16)=4,MIN('Monthly inputs'!X16,'Monthly inputs'!Y16,'Monthly inputs'!Z16,'Monthly inputs'!AA16)&gt;=0,MAX('Monthly inputs'!X16,'Monthly inputs'!Y16,'Monthly inputs'!Z16,'Monthly inputs'!AA16)&lt;=100000000,'Monthly inputs'!X16=ROUND('Monthly inputs'!X16,2),'Monthly inputs'!Y16=ROUND('Monthly inputs'!Y16,2),'Monthly inputs'!Z16=ROUND('Monthly inputs'!Z16,2),'Monthly inputs'!AA16=ROUND('Monthly inputs'!AA16,2)),OR('Monthly inputs'!AB16="",'Monthly inputs'!AB16=0),OR('Monthly inputs'!AC16="",'Monthly inputs'!AC16=0),OR('Monthly inputs'!AD16="",'Monthly inputs'!AD16=0)),FALSE))),"OK","INCOMPLETE"),"INCOMPLETE"))</f>
        <v/>
      </c>
    </row>
    <row r="17" ht="36" customHeight="1">
      <c r="A17" s="13" t="inlineStr">
        <is>
          <t>2026-12</t>
        </is>
      </c>
      <c r="B17" s="14" t="n">
        <v>46357</v>
      </c>
      <c r="C17" s="14" t="n">
        <v>46387</v>
      </c>
      <c r="D17" s="13" t="inlineStr">
        <is>
          <t>period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>
        <f>IF(COUNTA('Monthly inputs'!A17:AP17)=0,"UNUSED",IFERROR(IF(AND(AND(COUNT('Monthly inputs'!E17,'Monthly inputs'!F17,'Monthly inputs'!G17,'Monthly inputs'!H17,'Monthly inputs'!I17,'Monthly inputs'!S17,'Monthly inputs'!T17,'Monthly inputs'!U17,'Monthly inputs'!V17,'Monthly inputs'!W17)=10,MIN('Monthly inputs'!E17,'Monthly inputs'!F17,'Monthly inputs'!G17,'Monthly inputs'!H17,'Monthly inputs'!I17,'Monthly inputs'!S17,'Monthly inputs'!T17,'Monthly inputs'!U17,'Monthly inputs'!V17,'Monthly inputs'!W17)&gt;=0,MAX('Monthly inputs'!E17,'Monthly inputs'!F17,'Monthly inputs'!G17,'Monthly inputs'!H17,'Monthly inputs'!I17,'Monthly inputs'!S17,'Monthly inputs'!T17,'Monthly inputs'!U17,'Monthly inputs'!V17,'Monthly inputs'!W17)&lt;=100000000,'Monthly inputs'!E17=ROUND('Monthly inputs'!E17,2),'Monthly inputs'!F17=ROUND('Monthly inputs'!F17,2),'Monthly inputs'!G17=ROUND('Monthly inputs'!G17,2),'Monthly inputs'!H17=ROUND('Monthly inputs'!H17,2),'Monthly inputs'!I17=ROUND('Monthly inputs'!I17,2),'Monthly inputs'!S17=ROUND('Monthly inputs'!S17,2),'Monthly inputs'!T17=ROUND('Monthly inputs'!T17,2),'Monthly inputs'!U17=ROUND('Monthly inputs'!U17,2),'Monthly inputs'!V17=ROUND('Monthly inputs'!V17,2),'Monthly inputs'!W17=ROUND('Monthly inputs'!W17,2)),ISNUMBER('Monthly inputs'!B17),ISNUMBER('Monthly inputs'!C17),'Monthly inputs'!B17&lt;='Monthly inputs'!C17,TEXT('Monthly inputs'!B17,"yyyy-mm")='Monthly inputs'!A17,TEXT('Monthly inputs'!C17,"yyyy-mm")='Monthly inputs'!A17,OR('Monthly inputs'!D17="period",'Monthly inputs'!D17="whole_month"),'Monthly inputs'!B17='Monthly inputs'!C16+1,'Monthly inputs'!A17&lt;&gt;'Monthly inputs'!A16,LEN(TRIM('Monthly inputs'!AE17))&gt;0,LEN(TRIM('Monthly inputs'!AF17))&gt;0,LEN(TRIM('Monthly inputs'!AG17))&gt;0,LEN(TRIM('Monthly inputs'!AH17))&gt;0,'Monthly inputs'!AI17="Yes",'Monthly inputs'!AJ17="Yes",LEN(TRIM(Setup!B3))&gt;0,LEN(TRIM(Setup!B4))&gt;0,OR(Setup!B6="rupee",Setup!B6="paise"),OR(Setup!B8="Yes",Setup!B8="No"),IF(Setup!B5="manual",AND(COUNT('Monthly inputs'!N17,'Monthly inputs'!O17,'Monthly inputs'!P17,'Monthly inputs'!Q17,'Monthly inputs'!R17)=5,MIN('Monthly inputs'!N17,'Monthly inputs'!O17,'Monthly inputs'!P17,'Monthly inputs'!Q17,'Monthly inputs'!R17)&gt;=0,MAX('Monthly inputs'!N17,'Monthly inputs'!O17,'Monthly inputs'!P17,'Monthly inputs'!Q17,'Monthly inputs'!R17)&lt;=100000000,'Monthly inputs'!N17=ROUND('Monthly inputs'!N17,2),'Monthly inputs'!O17=ROUND('Monthly inputs'!O17,2),'Monthly inputs'!P17=ROUND('Monthly inputs'!P17,2),'Monthly inputs'!Q17=ROUND('Monthly inputs'!Q17,2),'Monthly inputs'!R17=ROUND('Monthly inputs'!R17,2)),IF(Setup!B5="increment",AND(COUNT('Monthly inputs'!J17,'Monthly inputs'!K17,'Monthly inputs'!L17)=3,MIN('Monthly inputs'!J17,'Monthly inputs'!K17,'Monthly inputs'!L17)&gt;=0,MAX('Monthly inputs'!J17,'Monthly inputs'!K17,'Monthly inputs'!L17)&lt;=100000000,'Monthly inputs'!J17=ROUND('Monthly inputs'!J17,2),'Monthly inputs'!K17&lt;=1000,'Monthly inputs'!L17&lt;=1000),IF(Setup!B5="da",AND(COUNT('Monthly inputs'!K17)=1,MIN('Monthly inputs'!K17)&gt;=0,MAX('Monthly inputs'!K17)&lt;=100000000,'Monthly inputs'!K17&lt;=1000),IF(Setup!B5="hra",AND(COUNT('Monthly inputs'!L17)=1,MIN('Monthly inputs'!L17)&gt;=0,MAX('Monthly inputs'!L17)&lt;=100000000,'Monthly inputs'!L17&lt;=1000),FALSE)))),IF(AND(OR(Setup!B5="increment",Setup!B5="da"),Setup!B8="Yes"),AND(COUNT('Monthly inputs'!M17)=1,MIN('Monthly inputs'!M17)&gt;=0,MAX('Monthly inputs'!M17)&lt;=100000000,'Monthly inputs'!M17&gt;0),TRUE),IF(Setup!B7="jodhpur_gpf_arrear",AND(AND(COUNT('Monthly inputs'!AB17,'Monthly inputs'!AC17,'Monthly inputs'!AD17,'Monthly inputs'!AA17)=4,MIN('Monthly inputs'!AB17,'Monthly inputs'!AC17,'Monthly inputs'!AD17,'Monthly inputs'!AA17)&gt;=0,MAX('Monthly inputs'!AB17,'Monthly inputs'!AC17,'Monthly inputs'!AD17,'Monthly inputs'!AA17)&lt;=100000000,'Monthly inputs'!AB17=ROUND('Monthly inputs'!AB17,2),'Monthly inputs'!AC17=ROUND('Monthly inputs'!AC17,2),'Monthly inputs'!AD17=ROUND('Monthly inputs'!AD17,2),'Monthly inputs'!AA17=ROUND('Monthly inputs'!AA17,2)),OR('Monthly inputs'!X17="",'Monthly inputs'!X17=0),OR('Monthly inputs'!Y17="",'Monthly inputs'!Y17=0),OR('Monthly inputs'!Z17="",'Monthly inputs'!Z17=0)),IF(Setup!B7="jodhpur_classic",AND(AND(COUNT('Monthly inputs'!X17,'Monthly inputs'!Y17,'Monthly inputs'!Z17,'Monthly inputs'!AA17)=4,MIN('Monthly inputs'!X17,'Monthly inputs'!Y17,'Monthly inputs'!Z17,'Monthly inputs'!AA17)&gt;=0,MAX('Monthly inputs'!X17,'Monthly inputs'!Y17,'Monthly inputs'!Z17,'Monthly inputs'!AA17)&lt;=100000000,'Monthly inputs'!X17=ROUND('Monthly inputs'!X17,2),'Monthly inputs'!Y17=ROUND('Monthly inputs'!Y17,2),'Monthly inputs'!Z17=ROUND('Monthly inputs'!Z17,2),'Monthly inputs'!AA17=ROUND('Monthly inputs'!AA17,2)),OR('Monthly inputs'!AB17="",'Monthly inputs'!AB17=0),OR('Monthly inputs'!AC17="",'Monthly inputs'!AC17=0),OR('Monthly inputs'!AD17="",'Monthly inputs'!AD17=0)),FALSE))),"OK","INCOMPLETE"),"INCOMPLETE"))</f>
        <v/>
      </c>
    </row>
  </sheetData>
  <autoFilter ref="A5:AQ17"/>
  <conditionalFormatting sqref="AQ6:AQ17">
    <cfRule type="cellIs" priority="1" operator="equal" dxfId="0">
      <formula>"INCOMPLETE"</formula>
    </cfRule>
  </conditionalFormatting>
  <dataValidations count="3">
    <dataValidation sqref="D6:D125" showDropDown="0" showInputMessage="0" showErrorMessage="1" allowBlank="1" errorTitle="Choose a listed value" error="Select one of the supported choices." type="list">
      <formula1>"period,whole_month"</formula1>
    </dataValidation>
    <dataValidation sqref="AI6:AI125" showDropDown="0" showInputMessage="0" showErrorMessage="1" allowBlank="1" errorTitle="Choose a listed value" error="Select one of the supported choices." type="list">
      <formula1>"Yes,No"</formula1>
    </dataValidation>
    <dataValidation sqref="AJ6:AJ125" showDropDown="0" showInputMessage="0" showErrorMessage="1" allowBlank="1" errorTitle="Choose a listed value" error="Select one of the supported choices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 ht="24" customHeight="1">
      <c r="A1" s="1" t="inlineStr">
        <is>
          <t>OFFICE OF THE POLICE COMMISSIONER JODHPUR</t>
        </is>
      </c>
    </row>
    <row r="2" ht="24" customHeight="1">
      <c r="A2" s="2">
        <f> "NAME = " &amp; Setup!B3</f>
        <v/>
      </c>
      <c r="P2" s="2">
        <f> "EMP. ID = " &amp; Setup!B4</f>
        <v/>
      </c>
    </row>
    <row r="3" ht="24" customHeight="1"/>
    <row r="4" ht="20" customHeight="1">
      <c r="A4" s="3" t="inlineStr">
        <is>
          <t>MONTH
AND
YEAR</t>
        </is>
      </c>
      <c r="B4" s="3" t="inlineStr">
        <is>
          <t>BILL NO AND DATE</t>
        </is>
      </c>
      <c r="C4" s="3" t="inlineStr">
        <is>
          <t>T.V. NO
DATE</t>
        </is>
      </c>
      <c r="D4" s="3" t="inlineStr">
        <is>
          <t>PAY TO BE DRAWN</t>
        </is>
      </c>
      <c r="E4" s="4" t="n"/>
      <c r="F4" s="4" t="n"/>
      <c r="G4" s="4" t="n"/>
      <c r="H4" s="4" t="n"/>
      <c r="I4" s="5" t="n"/>
      <c r="J4" s="3" t="inlineStr">
        <is>
          <t>PAY ALREADY DRAWN</t>
        </is>
      </c>
      <c r="K4" s="4" t="n"/>
      <c r="L4" s="4" t="n"/>
      <c r="M4" s="4" t="n"/>
      <c r="N4" s="4" t="n"/>
      <c r="O4" s="5" t="n"/>
      <c r="P4" s="3" t="inlineStr">
        <is>
          <t>PAY DIFFERENCE DRAWN</t>
        </is>
      </c>
      <c r="Q4" s="4" t="n"/>
      <c r="R4" s="4" t="n"/>
      <c r="S4" s="4" t="n"/>
      <c r="T4" s="4" t="n"/>
      <c r="U4" s="5" t="n"/>
      <c r="V4" s="3">
        <f>IF(Setup!$B$7="jodhpur_classic","G.P.F.","GPF ARREAR
TO BE
DEDUCTED")</f>
        <v/>
      </c>
      <c r="W4" s="3">
        <f>IF(Setup!$B$7="jodhpur_classic","SI","GPF ARREAR
ALREADY
DEDUCTED")</f>
        <v/>
      </c>
      <c r="X4" s="3">
        <f>IF(Setup!$B$7="jodhpur_classic","CM
CORONA","SIF ARREAR
ALREADY
DEDUCTED")</f>
        <v/>
      </c>
      <c r="Y4" s="3">
        <f>IF(Setup!$B$7="jodhpur_classic","I TAX","I TAX")</f>
        <v/>
      </c>
      <c r="Z4" s="3" t="inlineStr">
        <is>
          <t>TOTAL
DEDUCTION</t>
        </is>
      </c>
      <c r="AA4" s="3" t="inlineStr">
        <is>
          <t>NET
AMOUNT</t>
        </is>
      </c>
    </row>
    <row r="5" ht="42" customHeight="1">
      <c r="A5" s="6" t="n"/>
      <c r="B5" s="6" t="n"/>
      <c r="C5" s="6" t="n"/>
      <c r="D5" s="3" t="inlineStr">
        <is>
          <t>BASIC
PAY</t>
        </is>
      </c>
      <c r="E5" s="3" t="inlineStr">
        <is>
          <t>D.A.</t>
        </is>
      </c>
      <c r="F5" s="3" t="inlineStr">
        <is>
          <t>H.R.A.</t>
        </is>
      </c>
      <c r="G5" s="3" t="inlineStr">
        <is>
          <t>H.D.A.</t>
        </is>
      </c>
      <c r="H5" s="3" t="inlineStr">
        <is>
          <t>CCA</t>
        </is>
      </c>
      <c r="I5" s="3" t="inlineStr">
        <is>
          <t>TOTAL</t>
        </is>
      </c>
      <c r="J5" s="3" t="inlineStr">
        <is>
          <t>BASIC
PAY</t>
        </is>
      </c>
      <c r="K5" s="3" t="inlineStr">
        <is>
          <t>D.A.</t>
        </is>
      </c>
      <c r="L5" s="3" t="inlineStr">
        <is>
          <t>H.R.A.</t>
        </is>
      </c>
      <c r="M5" s="3" t="inlineStr">
        <is>
          <t>H.D.A.</t>
        </is>
      </c>
      <c r="N5" s="3" t="inlineStr">
        <is>
          <t>CCA</t>
        </is>
      </c>
      <c r="O5" s="3" t="inlineStr">
        <is>
          <t>TOTAL</t>
        </is>
      </c>
      <c r="P5" s="3" t="inlineStr">
        <is>
          <t>BASIC
PAY</t>
        </is>
      </c>
      <c r="Q5" s="3" t="inlineStr">
        <is>
          <t>D.A.</t>
        </is>
      </c>
      <c r="R5" s="3" t="inlineStr">
        <is>
          <t>H.R.A.</t>
        </is>
      </c>
      <c r="S5" s="3" t="inlineStr">
        <is>
          <t>H.D.A.</t>
        </is>
      </c>
      <c r="T5" s="3" t="inlineStr">
        <is>
          <t>CCA</t>
        </is>
      </c>
      <c r="U5" s="3" t="inlineStr">
        <is>
          <t>TOTAL</t>
        </is>
      </c>
      <c r="V5" s="6" t="n"/>
      <c r="W5" s="6" t="n"/>
      <c r="X5" s="6" t="n"/>
      <c r="Y5" s="6" t="n"/>
      <c r="Z5" s="6" t="n"/>
      <c r="AA5" s="6" t="n"/>
    </row>
    <row r="6" ht="24" customHeight="1">
      <c r="A6" s="7">
        <f>IF('Monthly inputs'!AQ6="OK",IF(AND(DAY('Monthly inputs'!B6)=1,DAY('Monthly inputs'!C6)=DAY(DATE(YEAR('Monthly inputs'!C6),MONTH('Monthly inputs'!C6)+1,0))),'Monthly inputs'!A6,TEXT('Monthly inputs'!B6,"dd/mm/yyyy")&amp;CHAR(10)&amp;TEXT('Monthly inputs'!C6,"dd/mm/yyyy")),"")</f>
        <v/>
      </c>
      <c r="B6" s="7">
        <f>IF('Monthly inputs'!AQ6="OK",'Monthly inputs'!AK6&amp;IF('Monthly inputs'!AL6="","",CHAR(10)&amp;'Monthly inputs'!AL6),"")</f>
        <v/>
      </c>
      <c r="C6" s="7">
        <f>IF('Monthly inputs'!AQ6="OK",'Monthly inputs'!AM6&amp;IF('Monthly inputs'!AN6="","",CHAR(10)&amp;'Monthly inputs'!AN6),"")</f>
        <v/>
      </c>
      <c r="D6" s="8">
        <f>IF('Monthly inputs'!AQ6="OK",ROUND(IF('Monthly inputs'!D6="whole_month",'Monthly inputs'!E6*(1-(('Monthly inputs'!C6-'Monthly inputs'!B6+1)/DAY(DATE(YEAR('Monthly inputs'!B6),MONTH('Monthly inputs'!B6)+1,0))))+(IF(Setup!$B$5="manual",'Monthly inputs'!N6,IF(Setup!$B$5="increment",'Monthly inputs'!J6,'Monthly inputs'!E6)))*(('Monthly inputs'!C6-'Monthly inputs'!B6+1)/DAY(DATE(YEAR('Monthly inputs'!B6),MONTH('Monthly inputs'!B6)+1,0))),(IF(Setup!$B$5="manual",'Monthly inputs'!N6,IF(Setup!$B$5="increment",'Monthly inputs'!J6,'Monthly inputs'!E6)))*(('Monthly inputs'!C6-'Monthly inputs'!B6+1)/DAY(DATE(YEAR('Monthly inputs'!B6),MONTH('Monthly inputs'!B6)+1,0)))),IF(Setup!$B$6="rupee",0,2)),"")</f>
        <v/>
      </c>
      <c r="E6" s="8">
        <f>IF('Monthly inputs'!AQ6="OK",ROUND(IF('Monthly inputs'!D6="whole_month",'Monthly inputs'!F6*(1-(('Monthly inputs'!C6-'Monthly inputs'!B6+1)/DAY(DATE(YEAR('Monthly inputs'!B6),MONTH('Monthly inputs'!B6)+1,0))))+(IF(Setup!$B$5="manual",'Monthly inputs'!O6,IF(OR(Setup!$B$5="increment",Setup!$B$5="da"),(IF(Setup!$B$5="increment",'Monthly inputs'!J6,'Monthly inputs'!E6))*'Monthly inputs'!K6/100,'Monthly inputs'!F6)))*(('Monthly inputs'!C6-'Monthly inputs'!B6+1)/DAY(DATE(YEAR('Monthly inputs'!B6),MONTH('Monthly inputs'!B6)+1,0))),(IF(Setup!$B$5="manual",'Monthly inputs'!O6,IF(OR(Setup!$B$5="increment",Setup!$B$5="da"),(IF(Setup!$B$5="increment",'Monthly inputs'!J6,'Monthly inputs'!E6))*'Monthly inputs'!K6/100,'Monthly inputs'!F6)))*(('Monthly inputs'!C6-'Monthly inputs'!B6+1)/DAY(DATE(YEAR('Monthly inputs'!B6),MONTH('Monthly inputs'!B6)+1,0)))),IF(Setup!$B$6="rupee",0,2)),"")</f>
        <v/>
      </c>
      <c r="F6" s="8">
        <f>IF('Monthly inputs'!AQ6="OK",ROUND(IF('Monthly inputs'!D6="whole_month",'Monthly inputs'!G6*(1-(('Monthly inputs'!C6-'Monthly inputs'!B6+1)/DAY(DATE(YEAR('Monthly inputs'!B6),MONTH('Monthly inputs'!B6)+1,0))))+(IF(Setup!$B$5="manual",'Monthly inputs'!P6,IF(OR(Setup!$B$5="increment",Setup!$B$5="hra"),(IF(Setup!$B$5="increment",'Monthly inputs'!J6,'Monthly inputs'!E6))*'Monthly inputs'!L6/100,'Monthly inputs'!G6)))*(('Monthly inputs'!C6-'Monthly inputs'!B6+1)/DAY(DATE(YEAR('Monthly inputs'!B6),MONTH('Monthly inputs'!B6)+1,0))),(IF(Setup!$B$5="manual",'Monthly inputs'!P6,IF(OR(Setup!$B$5="increment",Setup!$B$5="hra"),(IF(Setup!$B$5="increment",'Monthly inputs'!J6,'Monthly inputs'!E6))*'Monthly inputs'!L6/100,'Monthly inputs'!G6)))*(('Monthly inputs'!C6-'Monthly inputs'!B6+1)/DAY(DATE(YEAR('Monthly inputs'!B6),MONTH('Monthly inputs'!B6)+1,0)))),IF(Setup!$B$6="rupee",0,2)),"")</f>
        <v/>
      </c>
      <c r="G6" s="8">
        <f>IF('Monthly inputs'!AQ6="OK",ROUND(IF('Monthly inputs'!D6="whole_month",'Monthly inputs'!H6*(1-(('Monthly inputs'!C6-'Monthly inputs'!B6+1)/DAY(DATE(YEAR('Monthly inputs'!B6),MONTH('Monthly inputs'!B6)+1,0))))+(IF(Setup!$B$5="manual",'Monthly inputs'!Q6,IF(AND(OR(Setup!$B$5="increment",Setup!$B$5="da"),Setup!$B$8="Yes"),((IF(Setup!$B$5="increment",'Monthly inputs'!J6,'Monthly inputs'!E6))+((IF(Setup!$B$5="increment",'Monthly inputs'!J6,'Monthly inputs'!E6))*'Monthly inputs'!K6/100))/'Monthly inputs'!M6,'Monthly inputs'!H6)))*(('Monthly inputs'!C6-'Monthly inputs'!B6+1)/DAY(DATE(YEAR('Monthly inputs'!B6),MONTH('Monthly inputs'!B6)+1,0))),(IF(Setup!$B$5="manual",'Monthly inputs'!Q6,IF(AND(OR(Setup!$B$5="increment",Setup!$B$5="da"),Setup!$B$8="Yes"),((IF(Setup!$B$5="increment",'Monthly inputs'!J6,'Monthly inputs'!E6))+((IF(Setup!$B$5="increment",'Monthly inputs'!J6,'Monthly inputs'!E6))*'Monthly inputs'!K6/100))/'Monthly inputs'!M6,'Monthly inputs'!H6)))*(('Monthly inputs'!C6-'Monthly inputs'!B6+1)/DAY(DATE(YEAR('Monthly inputs'!B6),MONTH('Monthly inputs'!B6)+1,0)))),IF(Setup!$B$6="rupee",0,2)),"")</f>
        <v/>
      </c>
      <c r="H6" s="8">
        <f>IF('Monthly inputs'!AQ6="OK",ROUND(IF('Monthly inputs'!D6="whole_month",'Monthly inputs'!I6*(1-(('Monthly inputs'!C6-'Monthly inputs'!B6+1)/DAY(DATE(YEAR('Monthly inputs'!B6),MONTH('Monthly inputs'!B6)+1,0))))+(IF(Setup!$B$5="manual",'Monthly inputs'!R6,'Monthly inputs'!I6))*(('Monthly inputs'!C6-'Monthly inputs'!B6+1)/DAY(DATE(YEAR('Monthly inputs'!B6),MONTH('Monthly inputs'!B6)+1,0))),(IF(Setup!$B$5="manual",'Monthly inputs'!R6,'Monthly inputs'!I6))*(('Monthly inputs'!C6-'Monthly inputs'!B6+1)/DAY(DATE(YEAR('Monthly inputs'!B6),MONTH('Monthly inputs'!B6)+1,0)))),IF(Setup!$B$6="rupee",0,2)),"")</f>
        <v/>
      </c>
      <c r="I6" s="8">
        <f>IF('Monthly inputs'!AQ6="OK",SUM(D6:H6),"")</f>
        <v/>
      </c>
      <c r="J6" s="8">
        <f>IF('Monthly inputs'!AQ6="OK",IF('Monthly inputs'!D6="whole_month",'Monthly inputs'!E6,ROUND('Monthly inputs'!E6*(('Monthly inputs'!C6-'Monthly inputs'!B6+1)/DAY(DATE(YEAR('Monthly inputs'!B6),MONTH('Monthly inputs'!B6)+1,0))),IF(Setup!$B$6="rupee",0,2)))+'Monthly inputs'!S6,"")</f>
        <v/>
      </c>
      <c r="K6" s="8">
        <f>IF('Monthly inputs'!AQ6="OK",IF('Monthly inputs'!D6="whole_month",'Monthly inputs'!F6,ROUND('Monthly inputs'!F6*(('Monthly inputs'!C6-'Monthly inputs'!B6+1)/DAY(DATE(YEAR('Monthly inputs'!B6),MONTH('Monthly inputs'!B6)+1,0))),IF(Setup!$B$6="rupee",0,2)))+'Monthly inputs'!T6,"")</f>
        <v/>
      </c>
      <c r="L6" s="8">
        <f>IF('Monthly inputs'!AQ6="OK",IF('Monthly inputs'!D6="whole_month",'Monthly inputs'!G6,ROUND('Monthly inputs'!G6*(('Monthly inputs'!C6-'Monthly inputs'!B6+1)/DAY(DATE(YEAR('Monthly inputs'!B6),MONTH('Monthly inputs'!B6)+1,0))),IF(Setup!$B$6="rupee",0,2)))+'Monthly inputs'!U6,"")</f>
        <v/>
      </c>
      <c r="M6" s="8">
        <f>IF('Monthly inputs'!AQ6="OK",IF('Monthly inputs'!D6="whole_month",'Monthly inputs'!H6,ROUND('Monthly inputs'!H6*(('Monthly inputs'!C6-'Monthly inputs'!B6+1)/DAY(DATE(YEAR('Monthly inputs'!B6),MONTH('Monthly inputs'!B6)+1,0))),IF(Setup!$B$6="rupee",0,2)))+'Monthly inputs'!V6,"")</f>
        <v/>
      </c>
      <c r="N6" s="8">
        <f>IF('Monthly inputs'!AQ6="OK",IF('Monthly inputs'!D6="whole_month",'Monthly inputs'!I6,ROUND('Monthly inputs'!I6*(('Monthly inputs'!C6-'Monthly inputs'!B6+1)/DAY(DATE(YEAR('Monthly inputs'!B6),MONTH('Monthly inputs'!B6)+1,0))),IF(Setup!$B$6="rupee",0,2)))+'Monthly inputs'!W6,"")</f>
        <v/>
      </c>
      <c r="O6" s="8">
        <f>IF('Monthly inputs'!AQ6="OK",SUM(J6:N6),"")</f>
        <v/>
      </c>
      <c r="P6" s="8">
        <f>IF('Monthly inputs'!AQ6="OK",D6-J6,"")</f>
        <v/>
      </c>
      <c r="Q6" s="8">
        <f>IF('Monthly inputs'!AQ6="OK",E6-K6,"")</f>
        <v/>
      </c>
      <c r="R6" s="8">
        <f>IF('Monthly inputs'!AQ6="OK",F6-L6,"")</f>
        <v/>
      </c>
      <c r="S6" s="8">
        <f>IF('Monthly inputs'!AQ6="OK",G6-M6,"")</f>
        <v/>
      </c>
      <c r="T6" s="8">
        <f>IF('Monthly inputs'!AQ6="OK",H6-N6,"")</f>
        <v/>
      </c>
      <c r="U6" s="8">
        <f>IF('Monthly inputs'!AQ6="OK",SUM(P6:T6),"")</f>
        <v/>
      </c>
      <c r="V6" s="8">
        <f>IF('Monthly inputs'!AQ6="OK",IF(Setup!$B$7="jodhpur_classic",'Monthly inputs'!X6,'Monthly inputs'!AB6),"")</f>
        <v/>
      </c>
      <c r="W6" s="8">
        <f>IF('Monthly inputs'!AQ6="OK",IF(Setup!$B$7="jodhpur_classic",'Monthly inputs'!Y6,'Monthly inputs'!AC6),"")</f>
        <v/>
      </c>
      <c r="X6" s="8">
        <f>IF('Monthly inputs'!AQ6="OK",IF(Setup!$B$7="jodhpur_classic",'Monthly inputs'!Z6,'Monthly inputs'!AD6),"")</f>
        <v/>
      </c>
      <c r="Y6" s="8">
        <f>IF('Monthly inputs'!AQ6="OK",IF(Setup!$B$7="jodhpur_classic",'Monthly inputs'!AA6,'Monthly inputs'!AA6),"")</f>
        <v/>
      </c>
      <c r="Z6" s="8">
        <f>IF('Monthly inputs'!AQ6="OK",IF(Setup!$B$7="jodhpur_classic",SUM(V6:Y6),V6+Y6),"")</f>
        <v/>
      </c>
      <c r="AA6" s="8">
        <f>IF('Monthly inputs'!AQ6="OK",U6-Z6,"")</f>
        <v/>
      </c>
    </row>
    <row r="7" ht="24" customHeight="1">
      <c r="A7" s="7">
        <f>IF('Monthly inputs'!AQ7="OK",IF(AND(DAY('Monthly inputs'!B7)=1,DAY('Monthly inputs'!C7)=DAY(DATE(YEAR('Monthly inputs'!C7),MONTH('Monthly inputs'!C7)+1,0))),'Monthly inputs'!A7,TEXT('Monthly inputs'!B7,"dd/mm/yyyy")&amp;CHAR(10)&amp;TEXT('Monthly inputs'!C7,"dd/mm/yyyy")),"")</f>
        <v/>
      </c>
      <c r="B7" s="7">
        <f>IF('Monthly inputs'!AQ7="OK",'Monthly inputs'!AK7&amp;IF('Monthly inputs'!AL7="","",CHAR(10)&amp;'Monthly inputs'!AL7),"")</f>
        <v/>
      </c>
      <c r="C7" s="7">
        <f>IF('Monthly inputs'!AQ7="OK",'Monthly inputs'!AM7&amp;IF('Monthly inputs'!AN7="","",CHAR(10)&amp;'Monthly inputs'!AN7),"")</f>
        <v/>
      </c>
      <c r="D7" s="8">
        <f>IF('Monthly inputs'!AQ7="OK",ROUND(IF('Monthly inputs'!D7="whole_month",'Monthly inputs'!E7*(1-(('Monthly inputs'!C7-'Monthly inputs'!B7+1)/DAY(DATE(YEAR('Monthly inputs'!B7),MONTH('Monthly inputs'!B7)+1,0))))+(IF(Setup!$B$5="manual",'Monthly inputs'!N7,IF(Setup!$B$5="increment",'Monthly inputs'!J7,'Monthly inputs'!E7)))*(('Monthly inputs'!C7-'Monthly inputs'!B7+1)/DAY(DATE(YEAR('Monthly inputs'!B7),MONTH('Monthly inputs'!B7)+1,0))),(IF(Setup!$B$5="manual",'Monthly inputs'!N7,IF(Setup!$B$5="increment",'Monthly inputs'!J7,'Monthly inputs'!E7)))*(('Monthly inputs'!C7-'Monthly inputs'!B7+1)/DAY(DATE(YEAR('Monthly inputs'!B7),MONTH('Monthly inputs'!B7)+1,0)))),IF(Setup!$B$6="rupee",0,2)),"")</f>
        <v/>
      </c>
      <c r="E7" s="8">
        <f>IF('Monthly inputs'!AQ7="OK",ROUND(IF('Monthly inputs'!D7="whole_month",'Monthly inputs'!F7*(1-(('Monthly inputs'!C7-'Monthly inputs'!B7+1)/DAY(DATE(YEAR('Monthly inputs'!B7),MONTH('Monthly inputs'!B7)+1,0))))+(IF(Setup!$B$5="manual",'Monthly inputs'!O7,IF(OR(Setup!$B$5="increment",Setup!$B$5="da"),(IF(Setup!$B$5="increment",'Monthly inputs'!J7,'Monthly inputs'!E7))*'Monthly inputs'!K7/100,'Monthly inputs'!F7)))*(('Monthly inputs'!C7-'Monthly inputs'!B7+1)/DAY(DATE(YEAR('Monthly inputs'!B7),MONTH('Monthly inputs'!B7)+1,0))),(IF(Setup!$B$5="manual",'Monthly inputs'!O7,IF(OR(Setup!$B$5="increment",Setup!$B$5="da"),(IF(Setup!$B$5="increment",'Monthly inputs'!J7,'Monthly inputs'!E7))*'Monthly inputs'!K7/100,'Monthly inputs'!F7)))*(('Monthly inputs'!C7-'Monthly inputs'!B7+1)/DAY(DATE(YEAR('Monthly inputs'!B7),MONTH('Monthly inputs'!B7)+1,0)))),IF(Setup!$B$6="rupee",0,2)),"")</f>
        <v/>
      </c>
      <c r="F7" s="8">
        <f>IF('Monthly inputs'!AQ7="OK",ROUND(IF('Monthly inputs'!D7="whole_month",'Monthly inputs'!G7*(1-(('Monthly inputs'!C7-'Monthly inputs'!B7+1)/DAY(DATE(YEAR('Monthly inputs'!B7),MONTH('Monthly inputs'!B7)+1,0))))+(IF(Setup!$B$5="manual",'Monthly inputs'!P7,IF(OR(Setup!$B$5="increment",Setup!$B$5="hra"),(IF(Setup!$B$5="increment",'Monthly inputs'!J7,'Monthly inputs'!E7))*'Monthly inputs'!L7/100,'Monthly inputs'!G7)))*(('Monthly inputs'!C7-'Monthly inputs'!B7+1)/DAY(DATE(YEAR('Monthly inputs'!B7),MONTH('Monthly inputs'!B7)+1,0))),(IF(Setup!$B$5="manual",'Monthly inputs'!P7,IF(OR(Setup!$B$5="increment",Setup!$B$5="hra"),(IF(Setup!$B$5="increment",'Monthly inputs'!J7,'Monthly inputs'!E7))*'Monthly inputs'!L7/100,'Monthly inputs'!G7)))*(('Monthly inputs'!C7-'Monthly inputs'!B7+1)/DAY(DATE(YEAR('Monthly inputs'!B7),MONTH('Monthly inputs'!B7)+1,0)))),IF(Setup!$B$6="rupee",0,2)),"")</f>
        <v/>
      </c>
      <c r="G7" s="8">
        <f>IF('Monthly inputs'!AQ7="OK",ROUND(IF('Monthly inputs'!D7="whole_month",'Monthly inputs'!H7*(1-(('Monthly inputs'!C7-'Monthly inputs'!B7+1)/DAY(DATE(YEAR('Monthly inputs'!B7),MONTH('Monthly inputs'!B7)+1,0))))+(IF(Setup!$B$5="manual",'Monthly inputs'!Q7,IF(AND(OR(Setup!$B$5="increment",Setup!$B$5="da"),Setup!$B$8="Yes"),((IF(Setup!$B$5="increment",'Monthly inputs'!J7,'Monthly inputs'!E7))+((IF(Setup!$B$5="increment",'Monthly inputs'!J7,'Monthly inputs'!E7))*'Monthly inputs'!K7/100))/'Monthly inputs'!M7,'Monthly inputs'!H7)))*(('Monthly inputs'!C7-'Monthly inputs'!B7+1)/DAY(DATE(YEAR('Monthly inputs'!B7),MONTH('Monthly inputs'!B7)+1,0))),(IF(Setup!$B$5="manual",'Monthly inputs'!Q7,IF(AND(OR(Setup!$B$5="increment",Setup!$B$5="da"),Setup!$B$8="Yes"),((IF(Setup!$B$5="increment",'Monthly inputs'!J7,'Monthly inputs'!E7))+((IF(Setup!$B$5="increment",'Monthly inputs'!J7,'Monthly inputs'!E7))*'Monthly inputs'!K7/100))/'Monthly inputs'!M7,'Monthly inputs'!H7)))*(('Monthly inputs'!C7-'Monthly inputs'!B7+1)/DAY(DATE(YEAR('Monthly inputs'!B7),MONTH('Monthly inputs'!B7)+1,0)))),IF(Setup!$B$6="rupee",0,2)),"")</f>
        <v/>
      </c>
      <c r="H7" s="8">
        <f>IF('Monthly inputs'!AQ7="OK",ROUND(IF('Monthly inputs'!D7="whole_month",'Monthly inputs'!I7*(1-(('Monthly inputs'!C7-'Monthly inputs'!B7+1)/DAY(DATE(YEAR('Monthly inputs'!B7),MONTH('Monthly inputs'!B7)+1,0))))+(IF(Setup!$B$5="manual",'Monthly inputs'!R7,'Monthly inputs'!I7))*(('Monthly inputs'!C7-'Monthly inputs'!B7+1)/DAY(DATE(YEAR('Monthly inputs'!B7),MONTH('Monthly inputs'!B7)+1,0))),(IF(Setup!$B$5="manual",'Monthly inputs'!R7,'Monthly inputs'!I7))*(('Monthly inputs'!C7-'Monthly inputs'!B7+1)/DAY(DATE(YEAR('Monthly inputs'!B7),MONTH('Monthly inputs'!B7)+1,0)))),IF(Setup!$B$6="rupee",0,2)),"")</f>
        <v/>
      </c>
      <c r="I7" s="8">
        <f>IF('Monthly inputs'!AQ7="OK",SUM(D7:H7),"")</f>
        <v/>
      </c>
      <c r="J7" s="8">
        <f>IF('Monthly inputs'!AQ7="OK",IF('Monthly inputs'!D7="whole_month",'Monthly inputs'!E7,ROUND('Monthly inputs'!E7*(('Monthly inputs'!C7-'Monthly inputs'!B7+1)/DAY(DATE(YEAR('Monthly inputs'!B7),MONTH('Monthly inputs'!B7)+1,0))),IF(Setup!$B$6="rupee",0,2)))+'Monthly inputs'!S7,"")</f>
        <v/>
      </c>
      <c r="K7" s="8">
        <f>IF('Monthly inputs'!AQ7="OK",IF('Monthly inputs'!D7="whole_month",'Monthly inputs'!F7,ROUND('Monthly inputs'!F7*(('Monthly inputs'!C7-'Monthly inputs'!B7+1)/DAY(DATE(YEAR('Monthly inputs'!B7),MONTH('Monthly inputs'!B7)+1,0))),IF(Setup!$B$6="rupee",0,2)))+'Monthly inputs'!T7,"")</f>
        <v/>
      </c>
      <c r="L7" s="8">
        <f>IF('Monthly inputs'!AQ7="OK",IF('Monthly inputs'!D7="whole_month",'Monthly inputs'!G7,ROUND('Monthly inputs'!G7*(('Monthly inputs'!C7-'Monthly inputs'!B7+1)/DAY(DATE(YEAR('Monthly inputs'!B7),MONTH('Monthly inputs'!B7)+1,0))),IF(Setup!$B$6="rupee",0,2)))+'Monthly inputs'!U7,"")</f>
        <v/>
      </c>
      <c r="M7" s="8">
        <f>IF('Monthly inputs'!AQ7="OK",IF('Monthly inputs'!D7="whole_month",'Monthly inputs'!H7,ROUND('Monthly inputs'!H7*(('Monthly inputs'!C7-'Monthly inputs'!B7+1)/DAY(DATE(YEAR('Monthly inputs'!B7),MONTH('Monthly inputs'!B7)+1,0))),IF(Setup!$B$6="rupee",0,2)))+'Monthly inputs'!V7,"")</f>
        <v/>
      </c>
      <c r="N7" s="8">
        <f>IF('Monthly inputs'!AQ7="OK",IF('Monthly inputs'!D7="whole_month",'Monthly inputs'!I7,ROUND('Monthly inputs'!I7*(('Monthly inputs'!C7-'Monthly inputs'!B7+1)/DAY(DATE(YEAR('Monthly inputs'!B7),MONTH('Monthly inputs'!B7)+1,0))),IF(Setup!$B$6="rupee",0,2)))+'Monthly inputs'!W7,"")</f>
        <v/>
      </c>
      <c r="O7" s="8">
        <f>IF('Monthly inputs'!AQ7="OK",SUM(J7:N7),"")</f>
        <v/>
      </c>
      <c r="P7" s="8">
        <f>IF('Monthly inputs'!AQ7="OK",D7-J7,"")</f>
        <v/>
      </c>
      <c r="Q7" s="8">
        <f>IF('Monthly inputs'!AQ7="OK",E7-K7,"")</f>
        <v/>
      </c>
      <c r="R7" s="8">
        <f>IF('Monthly inputs'!AQ7="OK",F7-L7,"")</f>
        <v/>
      </c>
      <c r="S7" s="8">
        <f>IF('Monthly inputs'!AQ7="OK",G7-M7,"")</f>
        <v/>
      </c>
      <c r="T7" s="8">
        <f>IF('Monthly inputs'!AQ7="OK",H7-N7,"")</f>
        <v/>
      </c>
      <c r="U7" s="8">
        <f>IF('Monthly inputs'!AQ7="OK",SUM(P7:T7),"")</f>
        <v/>
      </c>
      <c r="V7" s="8">
        <f>IF('Monthly inputs'!AQ7="OK",IF(Setup!$B$7="jodhpur_classic",'Monthly inputs'!X7,'Monthly inputs'!AB7),"")</f>
        <v/>
      </c>
      <c r="W7" s="8">
        <f>IF('Monthly inputs'!AQ7="OK",IF(Setup!$B$7="jodhpur_classic",'Monthly inputs'!Y7,'Monthly inputs'!AC7),"")</f>
        <v/>
      </c>
      <c r="X7" s="8">
        <f>IF('Monthly inputs'!AQ7="OK",IF(Setup!$B$7="jodhpur_classic",'Monthly inputs'!Z7,'Monthly inputs'!AD7),"")</f>
        <v/>
      </c>
      <c r="Y7" s="8">
        <f>IF('Monthly inputs'!AQ7="OK",IF(Setup!$B$7="jodhpur_classic",'Monthly inputs'!AA7,'Monthly inputs'!AA7),"")</f>
        <v/>
      </c>
      <c r="Z7" s="8">
        <f>IF('Monthly inputs'!AQ7="OK",IF(Setup!$B$7="jodhpur_classic",SUM(V7:Y7),V7+Y7),"")</f>
        <v/>
      </c>
      <c r="AA7" s="8">
        <f>IF('Monthly inputs'!AQ7="OK",U7-Z7,"")</f>
        <v/>
      </c>
    </row>
    <row r="8" ht="24" customHeight="1">
      <c r="A8" s="7">
        <f>IF('Monthly inputs'!AQ8="OK",IF(AND(DAY('Monthly inputs'!B8)=1,DAY('Monthly inputs'!C8)=DAY(DATE(YEAR('Monthly inputs'!C8),MONTH('Monthly inputs'!C8)+1,0))),'Monthly inputs'!A8,TEXT('Monthly inputs'!B8,"dd/mm/yyyy")&amp;CHAR(10)&amp;TEXT('Monthly inputs'!C8,"dd/mm/yyyy")),"")</f>
        <v/>
      </c>
      <c r="B8" s="7">
        <f>IF('Monthly inputs'!AQ8="OK",'Monthly inputs'!AK8&amp;IF('Monthly inputs'!AL8="","",CHAR(10)&amp;'Monthly inputs'!AL8),"")</f>
        <v/>
      </c>
      <c r="C8" s="7">
        <f>IF('Monthly inputs'!AQ8="OK",'Monthly inputs'!AM8&amp;IF('Monthly inputs'!AN8="","",CHAR(10)&amp;'Monthly inputs'!AN8),"")</f>
        <v/>
      </c>
      <c r="D8" s="8">
        <f>IF('Monthly inputs'!AQ8="OK",ROUND(IF('Monthly inputs'!D8="whole_month",'Monthly inputs'!E8*(1-(('Monthly inputs'!C8-'Monthly inputs'!B8+1)/DAY(DATE(YEAR('Monthly inputs'!B8),MONTH('Monthly inputs'!B8)+1,0))))+(IF(Setup!$B$5="manual",'Monthly inputs'!N8,IF(Setup!$B$5="increment",'Monthly inputs'!J8,'Monthly inputs'!E8)))*(('Monthly inputs'!C8-'Monthly inputs'!B8+1)/DAY(DATE(YEAR('Monthly inputs'!B8),MONTH('Monthly inputs'!B8)+1,0))),(IF(Setup!$B$5="manual",'Monthly inputs'!N8,IF(Setup!$B$5="increment",'Monthly inputs'!J8,'Monthly inputs'!E8)))*(('Monthly inputs'!C8-'Monthly inputs'!B8+1)/DAY(DATE(YEAR('Monthly inputs'!B8),MONTH('Monthly inputs'!B8)+1,0)))),IF(Setup!$B$6="rupee",0,2)),"")</f>
        <v/>
      </c>
      <c r="E8" s="8">
        <f>IF('Monthly inputs'!AQ8="OK",ROUND(IF('Monthly inputs'!D8="whole_month",'Monthly inputs'!F8*(1-(('Monthly inputs'!C8-'Monthly inputs'!B8+1)/DAY(DATE(YEAR('Monthly inputs'!B8),MONTH('Monthly inputs'!B8)+1,0))))+(IF(Setup!$B$5="manual",'Monthly inputs'!O8,IF(OR(Setup!$B$5="increment",Setup!$B$5="da"),(IF(Setup!$B$5="increment",'Monthly inputs'!J8,'Monthly inputs'!E8))*'Monthly inputs'!K8/100,'Monthly inputs'!F8)))*(('Monthly inputs'!C8-'Monthly inputs'!B8+1)/DAY(DATE(YEAR('Monthly inputs'!B8),MONTH('Monthly inputs'!B8)+1,0))),(IF(Setup!$B$5="manual",'Monthly inputs'!O8,IF(OR(Setup!$B$5="increment",Setup!$B$5="da"),(IF(Setup!$B$5="increment",'Monthly inputs'!J8,'Monthly inputs'!E8))*'Monthly inputs'!K8/100,'Monthly inputs'!F8)))*(('Monthly inputs'!C8-'Monthly inputs'!B8+1)/DAY(DATE(YEAR('Monthly inputs'!B8),MONTH('Monthly inputs'!B8)+1,0)))),IF(Setup!$B$6="rupee",0,2)),"")</f>
        <v/>
      </c>
      <c r="F8" s="8">
        <f>IF('Monthly inputs'!AQ8="OK",ROUND(IF('Monthly inputs'!D8="whole_month",'Monthly inputs'!G8*(1-(('Monthly inputs'!C8-'Monthly inputs'!B8+1)/DAY(DATE(YEAR('Monthly inputs'!B8),MONTH('Monthly inputs'!B8)+1,0))))+(IF(Setup!$B$5="manual",'Monthly inputs'!P8,IF(OR(Setup!$B$5="increment",Setup!$B$5="hra"),(IF(Setup!$B$5="increment",'Monthly inputs'!J8,'Monthly inputs'!E8))*'Monthly inputs'!L8/100,'Monthly inputs'!G8)))*(('Monthly inputs'!C8-'Monthly inputs'!B8+1)/DAY(DATE(YEAR('Monthly inputs'!B8),MONTH('Monthly inputs'!B8)+1,0))),(IF(Setup!$B$5="manual",'Monthly inputs'!P8,IF(OR(Setup!$B$5="increment",Setup!$B$5="hra"),(IF(Setup!$B$5="increment",'Monthly inputs'!J8,'Monthly inputs'!E8))*'Monthly inputs'!L8/100,'Monthly inputs'!G8)))*(('Monthly inputs'!C8-'Monthly inputs'!B8+1)/DAY(DATE(YEAR('Monthly inputs'!B8),MONTH('Monthly inputs'!B8)+1,0)))),IF(Setup!$B$6="rupee",0,2)),"")</f>
        <v/>
      </c>
      <c r="G8" s="8">
        <f>IF('Monthly inputs'!AQ8="OK",ROUND(IF('Monthly inputs'!D8="whole_month",'Monthly inputs'!H8*(1-(('Monthly inputs'!C8-'Monthly inputs'!B8+1)/DAY(DATE(YEAR('Monthly inputs'!B8),MONTH('Monthly inputs'!B8)+1,0))))+(IF(Setup!$B$5="manual",'Monthly inputs'!Q8,IF(AND(OR(Setup!$B$5="increment",Setup!$B$5="da"),Setup!$B$8="Yes"),((IF(Setup!$B$5="increment",'Monthly inputs'!J8,'Monthly inputs'!E8))+((IF(Setup!$B$5="increment",'Monthly inputs'!J8,'Monthly inputs'!E8))*'Monthly inputs'!K8/100))/'Monthly inputs'!M8,'Monthly inputs'!H8)))*(('Monthly inputs'!C8-'Monthly inputs'!B8+1)/DAY(DATE(YEAR('Monthly inputs'!B8),MONTH('Monthly inputs'!B8)+1,0))),(IF(Setup!$B$5="manual",'Monthly inputs'!Q8,IF(AND(OR(Setup!$B$5="increment",Setup!$B$5="da"),Setup!$B$8="Yes"),((IF(Setup!$B$5="increment",'Monthly inputs'!J8,'Monthly inputs'!E8))+((IF(Setup!$B$5="increment",'Monthly inputs'!J8,'Monthly inputs'!E8))*'Monthly inputs'!K8/100))/'Monthly inputs'!M8,'Monthly inputs'!H8)))*(('Monthly inputs'!C8-'Monthly inputs'!B8+1)/DAY(DATE(YEAR('Monthly inputs'!B8),MONTH('Monthly inputs'!B8)+1,0)))),IF(Setup!$B$6="rupee",0,2)),"")</f>
        <v/>
      </c>
      <c r="H8" s="8">
        <f>IF('Monthly inputs'!AQ8="OK",ROUND(IF('Monthly inputs'!D8="whole_month",'Monthly inputs'!I8*(1-(('Monthly inputs'!C8-'Monthly inputs'!B8+1)/DAY(DATE(YEAR('Monthly inputs'!B8),MONTH('Monthly inputs'!B8)+1,0))))+(IF(Setup!$B$5="manual",'Monthly inputs'!R8,'Monthly inputs'!I8))*(('Monthly inputs'!C8-'Monthly inputs'!B8+1)/DAY(DATE(YEAR('Monthly inputs'!B8),MONTH('Monthly inputs'!B8)+1,0))),(IF(Setup!$B$5="manual",'Monthly inputs'!R8,'Monthly inputs'!I8))*(('Monthly inputs'!C8-'Monthly inputs'!B8+1)/DAY(DATE(YEAR('Monthly inputs'!B8),MONTH('Monthly inputs'!B8)+1,0)))),IF(Setup!$B$6="rupee",0,2)),"")</f>
        <v/>
      </c>
      <c r="I8" s="8">
        <f>IF('Monthly inputs'!AQ8="OK",SUM(D8:H8),"")</f>
        <v/>
      </c>
      <c r="J8" s="8">
        <f>IF('Monthly inputs'!AQ8="OK",IF('Monthly inputs'!D8="whole_month",'Monthly inputs'!E8,ROUND('Monthly inputs'!E8*(('Monthly inputs'!C8-'Monthly inputs'!B8+1)/DAY(DATE(YEAR('Monthly inputs'!B8),MONTH('Monthly inputs'!B8)+1,0))),IF(Setup!$B$6="rupee",0,2)))+'Monthly inputs'!S8,"")</f>
        <v/>
      </c>
      <c r="K8" s="8">
        <f>IF('Monthly inputs'!AQ8="OK",IF('Monthly inputs'!D8="whole_month",'Monthly inputs'!F8,ROUND('Monthly inputs'!F8*(('Monthly inputs'!C8-'Monthly inputs'!B8+1)/DAY(DATE(YEAR('Monthly inputs'!B8),MONTH('Monthly inputs'!B8)+1,0))),IF(Setup!$B$6="rupee",0,2)))+'Monthly inputs'!T8,"")</f>
        <v/>
      </c>
      <c r="L8" s="8">
        <f>IF('Monthly inputs'!AQ8="OK",IF('Monthly inputs'!D8="whole_month",'Monthly inputs'!G8,ROUND('Monthly inputs'!G8*(('Monthly inputs'!C8-'Monthly inputs'!B8+1)/DAY(DATE(YEAR('Monthly inputs'!B8),MONTH('Monthly inputs'!B8)+1,0))),IF(Setup!$B$6="rupee",0,2)))+'Monthly inputs'!U8,"")</f>
        <v/>
      </c>
      <c r="M8" s="8">
        <f>IF('Monthly inputs'!AQ8="OK",IF('Monthly inputs'!D8="whole_month",'Monthly inputs'!H8,ROUND('Monthly inputs'!H8*(('Monthly inputs'!C8-'Monthly inputs'!B8+1)/DAY(DATE(YEAR('Monthly inputs'!B8),MONTH('Monthly inputs'!B8)+1,0))),IF(Setup!$B$6="rupee",0,2)))+'Monthly inputs'!V8,"")</f>
        <v/>
      </c>
      <c r="N8" s="8">
        <f>IF('Monthly inputs'!AQ8="OK",IF('Monthly inputs'!D8="whole_month",'Monthly inputs'!I8,ROUND('Monthly inputs'!I8*(('Monthly inputs'!C8-'Monthly inputs'!B8+1)/DAY(DATE(YEAR('Monthly inputs'!B8),MONTH('Monthly inputs'!B8)+1,0))),IF(Setup!$B$6="rupee",0,2)))+'Monthly inputs'!W8,"")</f>
        <v/>
      </c>
      <c r="O8" s="8">
        <f>IF('Monthly inputs'!AQ8="OK",SUM(J8:N8),"")</f>
        <v/>
      </c>
      <c r="P8" s="8">
        <f>IF('Monthly inputs'!AQ8="OK",D8-J8,"")</f>
        <v/>
      </c>
      <c r="Q8" s="8">
        <f>IF('Monthly inputs'!AQ8="OK",E8-K8,"")</f>
        <v/>
      </c>
      <c r="R8" s="8">
        <f>IF('Monthly inputs'!AQ8="OK",F8-L8,"")</f>
        <v/>
      </c>
      <c r="S8" s="8">
        <f>IF('Monthly inputs'!AQ8="OK",G8-M8,"")</f>
        <v/>
      </c>
      <c r="T8" s="8">
        <f>IF('Monthly inputs'!AQ8="OK",H8-N8,"")</f>
        <v/>
      </c>
      <c r="U8" s="8">
        <f>IF('Monthly inputs'!AQ8="OK",SUM(P8:T8),"")</f>
        <v/>
      </c>
      <c r="V8" s="8">
        <f>IF('Monthly inputs'!AQ8="OK",IF(Setup!$B$7="jodhpur_classic",'Monthly inputs'!X8,'Monthly inputs'!AB8),"")</f>
        <v/>
      </c>
      <c r="W8" s="8">
        <f>IF('Monthly inputs'!AQ8="OK",IF(Setup!$B$7="jodhpur_classic",'Monthly inputs'!Y8,'Monthly inputs'!AC8),"")</f>
        <v/>
      </c>
      <c r="X8" s="8">
        <f>IF('Monthly inputs'!AQ8="OK",IF(Setup!$B$7="jodhpur_classic",'Monthly inputs'!Z8,'Monthly inputs'!AD8),"")</f>
        <v/>
      </c>
      <c r="Y8" s="8">
        <f>IF('Monthly inputs'!AQ8="OK",IF(Setup!$B$7="jodhpur_classic",'Monthly inputs'!AA8,'Monthly inputs'!AA8),"")</f>
        <v/>
      </c>
      <c r="Z8" s="8">
        <f>IF('Monthly inputs'!AQ8="OK",IF(Setup!$B$7="jodhpur_classic",SUM(V8:Y8),V8+Y8),"")</f>
        <v/>
      </c>
      <c r="AA8" s="8">
        <f>IF('Monthly inputs'!AQ8="OK",U8-Z8,"")</f>
        <v/>
      </c>
    </row>
    <row r="9" ht="24" customHeight="1">
      <c r="A9" s="7">
        <f>IF('Monthly inputs'!AQ9="OK",IF(AND(DAY('Monthly inputs'!B9)=1,DAY('Monthly inputs'!C9)=DAY(DATE(YEAR('Monthly inputs'!C9),MONTH('Monthly inputs'!C9)+1,0))),'Monthly inputs'!A9,TEXT('Monthly inputs'!B9,"dd/mm/yyyy")&amp;CHAR(10)&amp;TEXT('Monthly inputs'!C9,"dd/mm/yyyy")),"")</f>
        <v/>
      </c>
      <c r="B9" s="7">
        <f>IF('Monthly inputs'!AQ9="OK",'Monthly inputs'!AK9&amp;IF('Monthly inputs'!AL9="","",CHAR(10)&amp;'Monthly inputs'!AL9),"")</f>
        <v/>
      </c>
      <c r="C9" s="7">
        <f>IF('Monthly inputs'!AQ9="OK",'Monthly inputs'!AM9&amp;IF('Monthly inputs'!AN9="","",CHAR(10)&amp;'Monthly inputs'!AN9),"")</f>
        <v/>
      </c>
      <c r="D9" s="8">
        <f>IF('Monthly inputs'!AQ9="OK",ROUND(IF('Monthly inputs'!D9="whole_month",'Monthly inputs'!E9*(1-(('Monthly inputs'!C9-'Monthly inputs'!B9+1)/DAY(DATE(YEAR('Monthly inputs'!B9),MONTH('Monthly inputs'!B9)+1,0))))+(IF(Setup!$B$5="manual",'Monthly inputs'!N9,IF(Setup!$B$5="increment",'Monthly inputs'!J9,'Monthly inputs'!E9)))*(('Monthly inputs'!C9-'Monthly inputs'!B9+1)/DAY(DATE(YEAR('Monthly inputs'!B9),MONTH('Monthly inputs'!B9)+1,0))),(IF(Setup!$B$5="manual",'Monthly inputs'!N9,IF(Setup!$B$5="increment",'Monthly inputs'!J9,'Monthly inputs'!E9)))*(('Monthly inputs'!C9-'Monthly inputs'!B9+1)/DAY(DATE(YEAR('Monthly inputs'!B9),MONTH('Monthly inputs'!B9)+1,0)))),IF(Setup!$B$6="rupee",0,2)),"")</f>
        <v/>
      </c>
      <c r="E9" s="8">
        <f>IF('Monthly inputs'!AQ9="OK",ROUND(IF('Monthly inputs'!D9="whole_month",'Monthly inputs'!F9*(1-(('Monthly inputs'!C9-'Monthly inputs'!B9+1)/DAY(DATE(YEAR('Monthly inputs'!B9),MONTH('Monthly inputs'!B9)+1,0))))+(IF(Setup!$B$5="manual",'Monthly inputs'!O9,IF(OR(Setup!$B$5="increment",Setup!$B$5="da"),(IF(Setup!$B$5="increment",'Monthly inputs'!J9,'Monthly inputs'!E9))*'Monthly inputs'!K9/100,'Monthly inputs'!F9)))*(('Monthly inputs'!C9-'Monthly inputs'!B9+1)/DAY(DATE(YEAR('Monthly inputs'!B9),MONTH('Monthly inputs'!B9)+1,0))),(IF(Setup!$B$5="manual",'Monthly inputs'!O9,IF(OR(Setup!$B$5="increment",Setup!$B$5="da"),(IF(Setup!$B$5="increment",'Monthly inputs'!J9,'Monthly inputs'!E9))*'Monthly inputs'!K9/100,'Monthly inputs'!F9)))*(('Monthly inputs'!C9-'Monthly inputs'!B9+1)/DAY(DATE(YEAR('Monthly inputs'!B9),MONTH('Monthly inputs'!B9)+1,0)))),IF(Setup!$B$6="rupee",0,2)),"")</f>
        <v/>
      </c>
      <c r="F9" s="8">
        <f>IF('Monthly inputs'!AQ9="OK",ROUND(IF('Monthly inputs'!D9="whole_month",'Monthly inputs'!G9*(1-(('Monthly inputs'!C9-'Monthly inputs'!B9+1)/DAY(DATE(YEAR('Monthly inputs'!B9),MONTH('Monthly inputs'!B9)+1,0))))+(IF(Setup!$B$5="manual",'Monthly inputs'!P9,IF(OR(Setup!$B$5="increment",Setup!$B$5="hra"),(IF(Setup!$B$5="increment",'Monthly inputs'!J9,'Monthly inputs'!E9))*'Monthly inputs'!L9/100,'Monthly inputs'!G9)))*(('Monthly inputs'!C9-'Monthly inputs'!B9+1)/DAY(DATE(YEAR('Monthly inputs'!B9),MONTH('Monthly inputs'!B9)+1,0))),(IF(Setup!$B$5="manual",'Monthly inputs'!P9,IF(OR(Setup!$B$5="increment",Setup!$B$5="hra"),(IF(Setup!$B$5="increment",'Monthly inputs'!J9,'Monthly inputs'!E9))*'Monthly inputs'!L9/100,'Monthly inputs'!G9)))*(('Monthly inputs'!C9-'Monthly inputs'!B9+1)/DAY(DATE(YEAR('Monthly inputs'!B9),MONTH('Monthly inputs'!B9)+1,0)))),IF(Setup!$B$6="rupee",0,2)),"")</f>
        <v/>
      </c>
      <c r="G9" s="8">
        <f>IF('Monthly inputs'!AQ9="OK",ROUND(IF('Monthly inputs'!D9="whole_month",'Monthly inputs'!H9*(1-(('Monthly inputs'!C9-'Monthly inputs'!B9+1)/DAY(DATE(YEAR('Monthly inputs'!B9),MONTH('Monthly inputs'!B9)+1,0))))+(IF(Setup!$B$5="manual",'Monthly inputs'!Q9,IF(AND(OR(Setup!$B$5="increment",Setup!$B$5="da"),Setup!$B$8="Yes"),((IF(Setup!$B$5="increment",'Monthly inputs'!J9,'Monthly inputs'!E9))+((IF(Setup!$B$5="increment",'Monthly inputs'!J9,'Monthly inputs'!E9))*'Monthly inputs'!K9/100))/'Monthly inputs'!M9,'Monthly inputs'!H9)))*(('Monthly inputs'!C9-'Monthly inputs'!B9+1)/DAY(DATE(YEAR('Monthly inputs'!B9),MONTH('Monthly inputs'!B9)+1,0))),(IF(Setup!$B$5="manual",'Monthly inputs'!Q9,IF(AND(OR(Setup!$B$5="increment",Setup!$B$5="da"),Setup!$B$8="Yes"),((IF(Setup!$B$5="increment",'Monthly inputs'!J9,'Monthly inputs'!E9))+((IF(Setup!$B$5="increment",'Monthly inputs'!J9,'Monthly inputs'!E9))*'Monthly inputs'!K9/100))/'Monthly inputs'!M9,'Monthly inputs'!H9)))*(('Monthly inputs'!C9-'Monthly inputs'!B9+1)/DAY(DATE(YEAR('Monthly inputs'!B9),MONTH('Monthly inputs'!B9)+1,0)))),IF(Setup!$B$6="rupee",0,2)),"")</f>
        <v/>
      </c>
      <c r="H9" s="8">
        <f>IF('Monthly inputs'!AQ9="OK",ROUND(IF('Monthly inputs'!D9="whole_month",'Monthly inputs'!I9*(1-(('Monthly inputs'!C9-'Monthly inputs'!B9+1)/DAY(DATE(YEAR('Monthly inputs'!B9),MONTH('Monthly inputs'!B9)+1,0))))+(IF(Setup!$B$5="manual",'Monthly inputs'!R9,'Monthly inputs'!I9))*(('Monthly inputs'!C9-'Monthly inputs'!B9+1)/DAY(DATE(YEAR('Monthly inputs'!B9),MONTH('Monthly inputs'!B9)+1,0))),(IF(Setup!$B$5="manual",'Monthly inputs'!R9,'Monthly inputs'!I9))*(('Monthly inputs'!C9-'Monthly inputs'!B9+1)/DAY(DATE(YEAR('Monthly inputs'!B9),MONTH('Monthly inputs'!B9)+1,0)))),IF(Setup!$B$6="rupee",0,2)),"")</f>
        <v/>
      </c>
      <c r="I9" s="8">
        <f>IF('Monthly inputs'!AQ9="OK",SUM(D9:H9),"")</f>
        <v/>
      </c>
      <c r="J9" s="8">
        <f>IF('Monthly inputs'!AQ9="OK",IF('Monthly inputs'!D9="whole_month",'Monthly inputs'!E9,ROUND('Monthly inputs'!E9*(('Monthly inputs'!C9-'Monthly inputs'!B9+1)/DAY(DATE(YEAR('Monthly inputs'!B9),MONTH('Monthly inputs'!B9)+1,0))),IF(Setup!$B$6="rupee",0,2)))+'Monthly inputs'!S9,"")</f>
        <v/>
      </c>
      <c r="K9" s="8">
        <f>IF('Monthly inputs'!AQ9="OK",IF('Monthly inputs'!D9="whole_month",'Monthly inputs'!F9,ROUND('Monthly inputs'!F9*(('Monthly inputs'!C9-'Monthly inputs'!B9+1)/DAY(DATE(YEAR('Monthly inputs'!B9),MONTH('Monthly inputs'!B9)+1,0))),IF(Setup!$B$6="rupee",0,2)))+'Monthly inputs'!T9,"")</f>
        <v/>
      </c>
      <c r="L9" s="8">
        <f>IF('Monthly inputs'!AQ9="OK",IF('Monthly inputs'!D9="whole_month",'Monthly inputs'!G9,ROUND('Monthly inputs'!G9*(('Monthly inputs'!C9-'Monthly inputs'!B9+1)/DAY(DATE(YEAR('Monthly inputs'!B9),MONTH('Monthly inputs'!B9)+1,0))),IF(Setup!$B$6="rupee",0,2)))+'Monthly inputs'!U9,"")</f>
        <v/>
      </c>
      <c r="M9" s="8">
        <f>IF('Monthly inputs'!AQ9="OK",IF('Monthly inputs'!D9="whole_month",'Monthly inputs'!H9,ROUND('Monthly inputs'!H9*(('Monthly inputs'!C9-'Monthly inputs'!B9+1)/DAY(DATE(YEAR('Monthly inputs'!B9),MONTH('Monthly inputs'!B9)+1,0))),IF(Setup!$B$6="rupee",0,2)))+'Monthly inputs'!V9,"")</f>
        <v/>
      </c>
      <c r="N9" s="8">
        <f>IF('Monthly inputs'!AQ9="OK",IF('Monthly inputs'!D9="whole_month",'Monthly inputs'!I9,ROUND('Monthly inputs'!I9*(('Monthly inputs'!C9-'Monthly inputs'!B9+1)/DAY(DATE(YEAR('Monthly inputs'!B9),MONTH('Monthly inputs'!B9)+1,0))),IF(Setup!$B$6="rupee",0,2)))+'Monthly inputs'!W9,"")</f>
        <v/>
      </c>
      <c r="O9" s="8">
        <f>IF('Monthly inputs'!AQ9="OK",SUM(J9:N9),"")</f>
        <v/>
      </c>
      <c r="P9" s="8">
        <f>IF('Monthly inputs'!AQ9="OK",D9-J9,"")</f>
        <v/>
      </c>
      <c r="Q9" s="8">
        <f>IF('Monthly inputs'!AQ9="OK",E9-K9,"")</f>
        <v/>
      </c>
      <c r="R9" s="8">
        <f>IF('Monthly inputs'!AQ9="OK",F9-L9,"")</f>
        <v/>
      </c>
      <c r="S9" s="8">
        <f>IF('Monthly inputs'!AQ9="OK",G9-M9,"")</f>
        <v/>
      </c>
      <c r="T9" s="8">
        <f>IF('Monthly inputs'!AQ9="OK",H9-N9,"")</f>
        <v/>
      </c>
      <c r="U9" s="8">
        <f>IF('Monthly inputs'!AQ9="OK",SUM(P9:T9),"")</f>
        <v/>
      </c>
      <c r="V9" s="8">
        <f>IF('Monthly inputs'!AQ9="OK",IF(Setup!$B$7="jodhpur_classic",'Monthly inputs'!X9,'Monthly inputs'!AB9),"")</f>
        <v/>
      </c>
      <c r="W9" s="8">
        <f>IF('Monthly inputs'!AQ9="OK",IF(Setup!$B$7="jodhpur_classic",'Monthly inputs'!Y9,'Monthly inputs'!AC9),"")</f>
        <v/>
      </c>
      <c r="X9" s="8">
        <f>IF('Monthly inputs'!AQ9="OK",IF(Setup!$B$7="jodhpur_classic",'Monthly inputs'!Z9,'Monthly inputs'!AD9),"")</f>
        <v/>
      </c>
      <c r="Y9" s="8">
        <f>IF('Monthly inputs'!AQ9="OK",IF(Setup!$B$7="jodhpur_classic",'Monthly inputs'!AA9,'Monthly inputs'!AA9),"")</f>
        <v/>
      </c>
      <c r="Z9" s="8">
        <f>IF('Monthly inputs'!AQ9="OK",IF(Setup!$B$7="jodhpur_classic",SUM(V9:Y9),V9+Y9),"")</f>
        <v/>
      </c>
      <c r="AA9" s="8">
        <f>IF('Monthly inputs'!AQ9="OK",U9-Z9,"")</f>
        <v/>
      </c>
    </row>
    <row r="10" ht="24" customHeight="1">
      <c r="A10" s="7">
        <f>IF('Monthly inputs'!AQ10="OK",IF(AND(DAY('Monthly inputs'!B10)=1,DAY('Monthly inputs'!C10)=DAY(DATE(YEAR('Monthly inputs'!C10),MONTH('Monthly inputs'!C10)+1,0))),'Monthly inputs'!A10,TEXT('Monthly inputs'!B10,"dd/mm/yyyy")&amp;CHAR(10)&amp;TEXT('Monthly inputs'!C10,"dd/mm/yyyy")),"")</f>
        <v/>
      </c>
      <c r="B10" s="7">
        <f>IF('Monthly inputs'!AQ10="OK",'Monthly inputs'!AK10&amp;IF('Monthly inputs'!AL10="","",CHAR(10)&amp;'Monthly inputs'!AL10),"")</f>
        <v/>
      </c>
      <c r="C10" s="7">
        <f>IF('Monthly inputs'!AQ10="OK",'Monthly inputs'!AM10&amp;IF('Monthly inputs'!AN10="","",CHAR(10)&amp;'Monthly inputs'!AN10),"")</f>
        <v/>
      </c>
      <c r="D10" s="8">
        <f>IF('Monthly inputs'!AQ10="OK",ROUND(IF('Monthly inputs'!D10="whole_month",'Monthly inputs'!E10*(1-(('Monthly inputs'!C10-'Monthly inputs'!B10+1)/DAY(DATE(YEAR('Monthly inputs'!B10),MONTH('Monthly inputs'!B10)+1,0))))+(IF(Setup!$B$5="manual",'Monthly inputs'!N10,IF(Setup!$B$5="increment",'Monthly inputs'!J10,'Monthly inputs'!E10)))*(('Monthly inputs'!C10-'Monthly inputs'!B10+1)/DAY(DATE(YEAR('Monthly inputs'!B10),MONTH('Monthly inputs'!B10)+1,0))),(IF(Setup!$B$5="manual",'Monthly inputs'!N10,IF(Setup!$B$5="increment",'Monthly inputs'!J10,'Monthly inputs'!E10)))*(('Monthly inputs'!C10-'Monthly inputs'!B10+1)/DAY(DATE(YEAR('Monthly inputs'!B10),MONTH('Monthly inputs'!B10)+1,0)))),IF(Setup!$B$6="rupee",0,2)),"")</f>
        <v/>
      </c>
      <c r="E10" s="8">
        <f>IF('Monthly inputs'!AQ10="OK",ROUND(IF('Monthly inputs'!D10="whole_month",'Monthly inputs'!F10*(1-(('Monthly inputs'!C10-'Monthly inputs'!B10+1)/DAY(DATE(YEAR('Monthly inputs'!B10),MONTH('Monthly inputs'!B10)+1,0))))+(IF(Setup!$B$5="manual",'Monthly inputs'!O10,IF(OR(Setup!$B$5="increment",Setup!$B$5="da"),(IF(Setup!$B$5="increment",'Monthly inputs'!J10,'Monthly inputs'!E10))*'Monthly inputs'!K10/100,'Monthly inputs'!F10)))*(('Monthly inputs'!C10-'Monthly inputs'!B10+1)/DAY(DATE(YEAR('Monthly inputs'!B10),MONTH('Monthly inputs'!B10)+1,0))),(IF(Setup!$B$5="manual",'Monthly inputs'!O10,IF(OR(Setup!$B$5="increment",Setup!$B$5="da"),(IF(Setup!$B$5="increment",'Monthly inputs'!J10,'Monthly inputs'!E10))*'Monthly inputs'!K10/100,'Monthly inputs'!F10)))*(('Monthly inputs'!C10-'Monthly inputs'!B10+1)/DAY(DATE(YEAR('Monthly inputs'!B10),MONTH('Monthly inputs'!B10)+1,0)))),IF(Setup!$B$6="rupee",0,2)),"")</f>
        <v/>
      </c>
      <c r="F10" s="8">
        <f>IF('Monthly inputs'!AQ10="OK",ROUND(IF('Monthly inputs'!D10="whole_month",'Monthly inputs'!G10*(1-(('Monthly inputs'!C10-'Monthly inputs'!B10+1)/DAY(DATE(YEAR('Monthly inputs'!B10),MONTH('Monthly inputs'!B10)+1,0))))+(IF(Setup!$B$5="manual",'Monthly inputs'!P10,IF(OR(Setup!$B$5="increment",Setup!$B$5="hra"),(IF(Setup!$B$5="increment",'Monthly inputs'!J10,'Monthly inputs'!E10))*'Monthly inputs'!L10/100,'Monthly inputs'!G10)))*(('Monthly inputs'!C10-'Monthly inputs'!B10+1)/DAY(DATE(YEAR('Monthly inputs'!B10),MONTH('Monthly inputs'!B10)+1,0))),(IF(Setup!$B$5="manual",'Monthly inputs'!P10,IF(OR(Setup!$B$5="increment",Setup!$B$5="hra"),(IF(Setup!$B$5="increment",'Monthly inputs'!J10,'Monthly inputs'!E10))*'Monthly inputs'!L10/100,'Monthly inputs'!G10)))*(('Monthly inputs'!C10-'Monthly inputs'!B10+1)/DAY(DATE(YEAR('Monthly inputs'!B10),MONTH('Monthly inputs'!B10)+1,0)))),IF(Setup!$B$6="rupee",0,2)),"")</f>
        <v/>
      </c>
      <c r="G10" s="8">
        <f>IF('Monthly inputs'!AQ10="OK",ROUND(IF('Monthly inputs'!D10="whole_month",'Monthly inputs'!H10*(1-(('Monthly inputs'!C10-'Monthly inputs'!B10+1)/DAY(DATE(YEAR('Monthly inputs'!B10),MONTH('Monthly inputs'!B10)+1,0))))+(IF(Setup!$B$5="manual",'Monthly inputs'!Q10,IF(AND(OR(Setup!$B$5="increment",Setup!$B$5="da"),Setup!$B$8="Yes"),((IF(Setup!$B$5="increment",'Monthly inputs'!J10,'Monthly inputs'!E10))+((IF(Setup!$B$5="increment",'Monthly inputs'!J10,'Monthly inputs'!E10))*'Monthly inputs'!K10/100))/'Monthly inputs'!M10,'Monthly inputs'!H10)))*(('Monthly inputs'!C10-'Monthly inputs'!B10+1)/DAY(DATE(YEAR('Monthly inputs'!B10),MONTH('Monthly inputs'!B10)+1,0))),(IF(Setup!$B$5="manual",'Monthly inputs'!Q10,IF(AND(OR(Setup!$B$5="increment",Setup!$B$5="da"),Setup!$B$8="Yes"),((IF(Setup!$B$5="increment",'Monthly inputs'!J10,'Monthly inputs'!E10))+((IF(Setup!$B$5="increment",'Monthly inputs'!J10,'Monthly inputs'!E10))*'Monthly inputs'!K10/100))/'Monthly inputs'!M10,'Monthly inputs'!H10)))*(('Monthly inputs'!C10-'Monthly inputs'!B10+1)/DAY(DATE(YEAR('Monthly inputs'!B10),MONTH('Monthly inputs'!B10)+1,0)))),IF(Setup!$B$6="rupee",0,2)),"")</f>
        <v/>
      </c>
      <c r="H10" s="8">
        <f>IF('Monthly inputs'!AQ10="OK",ROUND(IF('Monthly inputs'!D10="whole_month",'Monthly inputs'!I10*(1-(('Monthly inputs'!C10-'Monthly inputs'!B10+1)/DAY(DATE(YEAR('Monthly inputs'!B10),MONTH('Monthly inputs'!B10)+1,0))))+(IF(Setup!$B$5="manual",'Monthly inputs'!R10,'Monthly inputs'!I10))*(('Monthly inputs'!C10-'Monthly inputs'!B10+1)/DAY(DATE(YEAR('Monthly inputs'!B10),MONTH('Monthly inputs'!B10)+1,0))),(IF(Setup!$B$5="manual",'Monthly inputs'!R10,'Monthly inputs'!I10))*(('Monthly inputs'!C10-'Monthly inputs'!B10+1)/DAY(DATE(YEAR('Monthly inputs'!B10),MONTH('Monthly inputs'!B10)+1,0)))),IF(Setup!$B$6="rupee",0,2)),"")</f>
        <v/>
      </c>
      <c r="I10" s="8">
        <f>IF('Monthly inputs'!AQ10="OK",SUM(D10:H10),"")</f>
        <v/>
      </c>
      <c r="J10" s="8">
        <f>IF('Monthly inputs'!AQ10="OK",IF('Monthly inputs'!D10="whole_month",'Monthly inputs'!E10,ROUND('Monthly inputs'!E10*(('Monthly inputs'!C10-'Monthly inputs'!B10+1)/DAY(DATE(YEAR('Monthly inputs'!B10),MONTH('Monthly inputs'!B10)+1,0))),IF(Setup!$B$6="rupee",0,2)))+'Monthly inputs'!S10,"")</f>
        <v/>
      </c>
      <c r="K10" s="8">
        <f>IF('Monthly inputs'!AQ10="OK",IF('Monthly inputs'!D10="whole_month",'Monthly inputs'!F10,ROUND('Monthly inputs'!F10*(('Monthly inputs'!C10-'Monthly inputs'!B10+1)/DAY(DATE(YEAR('Monthly inputs'!B10),MONTH('Monthly inputs'!B10)+1,0))),IF(Setup!$B$6="rupee",0,2)))+'Monthly inputs'!T10,"")</f>
        <v/>
      </c>
      <c r="L10" s="8">
        <f>IF('Monthly inputs'!AQ10="OK",IF('Monthly inputs'!D10="whole_month",'Monthly inputs'!G10,ROUND('Monthly inputs'!G10*(('Monthly inputs'!C10-'Monthly inputs'!B10+1)/DAY(DATE(YEAR('Monthly inputs'!B10),MONTH('Monthly inputs'!B10)+1,0))),IF(Setup!$B$6="rupee",0,2)))+'Monthly inputs'!U10,"")</f>
        <v/>
      </c>
      <c r="M10" s="8">
        <f>IF('Monthly inputs'!AQ10="OK",IF('Monthly inputs'!D10="whole_month",'Monthly inputs'!H10,ROUND('Monthly inputs'!H10*(('Monthly inputs'!C10-'Monthly inputs'!B10+1)/DAY(DATE(YEAR('Monthly inputs'!B10),MONTH('Monthly inputs'!B10)+1,0))),IF(Setup!$B$6="rupee",0,2)))+'Monthly inputs'!V10,"")</f>
        <v/>
      </c>
      <c r="N10" s="8">
        <f>IF('Monthly inputs'!AQ10="OK",IF('Monthly inputs'!D10="whole_month",'Monthly inputs'!I10,ROUND('Monthly inputs'!I10*(('Monthly inputs'!C10-'Monthly inputs'!B10+1)/DAY(DATE(YEAR('Monthly inputs'!B10),MONTH('Monthly inputs'!B10)+1,0))),IF(Setup!$B$6="rupee",0,2)))+'Monthly inputs'!W10,"")</f>
        <v/>
      </c>
      <c r="O10" s="8">
        <f>IF('Monthly inputs'!AQ10="OK",SUM(J10:N10),"")</f>
        <v/>
      </c>
      <c r="P10" s="8">
        <f>IF('Monthly inputs'!AQ10="OK",D10-J10,"")</f>
        <v/>
      </c>
      <c r="Q10" s="8">
        <f>IF('Monthly inputs'!AQ10="OK",E10-K10,"")</f>
        <v/>
      </c>
      <c r="R10" s="8">
        <f>IF('Monthly inputs'!AQ10="OK",F10-L10,"")</f>
        <v/>
      </c>
      <c r="S10" s="8">
        <f>IF('Monthly inputs'!AQ10="OK",G10-M10,"")</f>
        <v/>
      </c>
      <c r="T10" s="8">
        <f>IF('Monthly inputs'!AQ10="OK",H10-N10,"")</f>
        <v/>
      </c>
      <c r="U10" s="8">
        <f>IF('Monthly inputs'!AQ10="OK",SUM(P10:T10),"")</f>
        <v/>
      </c>
      <c r="V10" s="8">
        <f>IF('Monthly inputs'!AQ10="OK",IF(Setup!$B$7="jodhpur_classic",'Monthly inputs'!X10,'Monthly inputs'!AB10),"")</f>
        <v/>
      </c>
      <c r="W10" s="8">
        <f>IF('Monthly inputs'!AQ10="OK",IF(Setup!$B$7="jodhpur_classic",'Monthly inputs'!Y10,'Monthly inputs'!AC10),"")</f>
        <v/>
      </c>
      <c r="X10" s="8">
        <f>IF('Monthly inputs'!AQ10="OK",IF(Setup!$B$7="jodhpur_classic",'Monthly inputs'!Z10,'Monthly inputs'!AD10),"")</f>
        <v/>
      </c>
      <c r="Y10" s="8">
        <f>IF('Monthly inputs'!AQ10="OK",IF(Setup!$B$7="jodhpur_classic",'Monthly inputs'!AA10,'Monthly inputs'!AA10),"")</f>
        <v/>
      </c>
      <c r="Z10" s="8">
        <f>IF('Monthly inputs'!AQ10="OK",IF(Setup!$B$7="jodhpur_classic",SUM(V10:Y10),V10+Y10),"")</f>
        <v/>
      </c>
      <c r="AA10" s="8">
        <f>IF('Monthly inputs'!AQ10="OK",U10-Z10,"")</f>
        <v/>
      </c>
    </row>
    <row r="11" ht="24" customHeight="1">
      <c r="A11" s="7">
        <f>IF('Monthly inputs'!AQ11="OK",IF(AND(DAY('Monthly inputs'!B11)=1,DAY('Monthly inputs'!C11)=DAY(DATE(YEAR('Monthly inputs'!C11),MONTH('Monthly inputs'!C11)+1,0))),'Monthly inputs'!A11,TEXT('Monthly inputs'!B11,"dd/mm/yyyy")&amp;CHAR(10)&amp;TEXT('Monthly inputs'!C11,"dd/mm/yyyy")),"")</f>
        <v/>
      </c>
      <c r="B11" s="7">
        <f>IF('Monthly inputs'!AQ11="OK",'Monthly inputs'!AK11&amp;IF('Monthly inputs'!AL11="","",CHAR(10)&amp;'Monthly inputs'!AL11),"")</f>
        <v/>
      </c>
      <c r="C11" s="7">
        <f>IF('Monthly inputs'!AQ11="OK",'Monthly inputs'!AM11&amp;IF('Monthly inputs'!AN11="","",CHAR(10)&amp;'Monthly inputs'!AN11),"")</f>
        <v/>
      </c>
      <c r="D11" s="8">
        <f>IF('Monthly inputs'!AQ11="OK",ROUND(IF('Monthly inputs'!D11="whole_month",'Monthly inputs'!E11*(1-(('Monthly inputs'!C11-'Monthly inputs'!B11+1)/DAY(DATE(YEAR('Monthly inputs'!B11),MONTH('Monthly inputs'!B11)+1,0))))+(IF(Setup!$B$5="manual",'Monthly inputs'!N11,IF(Setup!$B$5="increment",'Monthly inputs'!J11,'Monthly inputs'!E11)))*(('Monthly inputs'!C11-'Monthly inputs'!B11+1)/DAY(DATE(YEAR('Monthly inputs'!B11),MONTH('Monthly inputs'!B11)+1,0))),(IF(Setup!$B$5="manual",'Monthly inputs'!N11,IF(Setup!$B$5="increment",'Monthly inputs'!J11,'Monthly inputs'!E11)))*(('Monthly inputs'!C11-'Monthly inputs'!B11+1)/DAY(DATE(YEAR('Monthly inputs'!B11),MONTH('Monthly inputs'!B11)+1,0)))),IF(Setup!$B$6="rupee",0,2)),"")</f>
        <v/>
      </c>
      <c r="E11" s="8">
        <f>IF('Monthly inputs'!AQ11="OK",ROUND(IF('Monthly inputs'!D11="whole_month",'Monthly inputs'!F11*(1-(('Monthly inputs'!C11-'Monthly inputs'!B11+1)/DAY(DATE(YEAR('Monthly inputs'!B11),MONTH('Monthly inputs'!B11)+1,0))))+(IF(Setup!$B$5="manual",'Monthly inputs'!O11,IF(OR(Setup!$B$5="increment",Setup!$B$5="da"),(IF(Setup!$B$5="increment",'Monthly inputs'!J11,'Monthly inputs'!E11))*'Monthly inputs'!K11/100,'Monthly inputs'!F11)))*(('Monthly inputs'!C11-'Monthly inputs'!B11+1)/DAY(DATE(YEAR('Monthly inputs'!B11),MONTH('Monthly inputs'!B11)+1,0))),(IF(Setup!$B$5="manual",'Monthly inputs'!O11,IF(OR(Setup!$B$5="increment",Setup!$B$5="da"),(IF(Setup!$B$5="increment",'Monthly inputs'!J11,'Monthly inputs'!E11))*'Monthly inputs'!K11/100,'Monthly inputs'!F11)))*(('Monthly inputs'!C11-'Monthly inputs'!B11+1)/DAY(DATE(YEAR('Monthly inputs'!B11),MONTH('Monthly inputs'!B11)+1,0)))),IF(Setup!$B$6="rupee",0,2)),"")</f>
        <v/>
      </c>
      <c r="F11" s="8">
        <f>IF('Monthly inputs'!AQ11="OK",ROUND(IF('Monthly inputs'!D11="whole_month",'Monthly inputs'!G11*(1-(('Monthly inputs'!C11-'Monthly inputs'!B11+1)/DAY(DATE(YEAR('Monthly inputs'!B11),MONTH('Monthly inputs'!B11)+1,0))))+(IF(Setup!$B$5="manual",'Monthly inputs'!P11,IF(OR(Setup!$B$5="increment",Setup!$B$5="hra"),(IF(Setup!$B$5="increment",'Monthly inputs'!J11,'Monthly inputs'!E11))*'Monthly inputs'!L11/100,'Monthly inputs'!G11)))*(('Monthly inputs'!C11-'Monthly inputs'!B11+1)/DAY(DATE(YEAR('Monthly inputs'!B11),MONTH('Monthly inputs'!B11)+1,0))),(IF(Setup!$B$5="manual",'Monthly inputs'!P11,IF(OR(Setup!$B$5="increment",Setup!$B$5="hra"),(IF(Setup!$B$5="increment",'Monthly inputs'!J11,'Monthly inputs'!E11))*'Monthly inputs'!L11/100,'Monthly inputs'!G11)))*(('Monthly inputs'!C11-'Monthly inputs'!B11+1)/DAY(DATE(YEAR('Monthly inputs'!B11),MONTH('Monthly inputs'!B11)+1,0)))),IF(Setup!$B$6="rupee",0,2)),"")</f>
        <v/>
      </c>
      <c r="G11" s="8">
        <f>IF('Monthly inputs'!AQ11="OK",ROUND(IF('Monthly inputs'!D11="whole_month",'Monthly inputs'!H11*(1-(('Monthly inputs'!C11-'Monthly inputs'!B11+1)/DAY(DATE(YEAR('Monthly inputs'!B11),MONTH('Monthly inputs'!B11)+1,0))))+(IF(Setup!$B$5="manual",'Monthly inputs'!Q11,IF(AND(OR(Setup!$B$5="increment",Setup!$B$5="da"),Setup!$B$8="Yes"),((IF(Setup!$B$5="increment",'Monthly inputs'!J11,'Monthly inputs'!E11))+((IF(Setup!$B$5="increment",'Monthly inputs'!J11,'Monthly inputs'!E11))*'Monthly inputs'!K11/100))/'Monthly inputs'!M11,'Monthly inputs'!H11)))*(('Monthly inputs'!C11-'Monthly inputs'!B11+1)/DAY(DATE(YEAR('Monthly inputs'!B11),MONTH('Monthly inputs'!B11)+1,0))),(IF(Setup!$B$5="manual",'Monthly inputs'!Q11,IF(AND(OR(Setup!$B$5="increment",Setup!$B$5="da"),Setup!$B$8="Yes"),((IF(Setup!$B$5="increment",'Monthly inputs'!J11,'Monthly inputs'!E11))+((IF(Setup!$B$5="increment",'Monthly inputs'!J11,'Monthly inputs'!E11))*'Monthly inputs'!K11/100))/'Monthly inputs'!M11,'Monthly inputs'!H11)))*(('Monthly inputs'!C11-'Monthly inputs'!B11+1)/DAY(DATE(YEAR('Monthly inputs'!B11),MONTH('Monthly inputs'!B11)+1,0)))),IF(Setup!$B$6="rupee",0,2)),"")</f>
        <v/>
      </c>
      <c r="H11" s="8">
        <f>IF('Monthly inputs'!AQ11="OK",ROUND(IF('Monthly inputs'!D11="whole_month",'Monthly inputs'!I11*(1-(('Monthly inputs'!C11-'Monthly inputs'!B11+1)/DAY(DATE(YEAR('Monthly inputs'!B11),MONTH('Monthly inputs'!B11)+1,0))))+(IF(Setup!$B$5="manual",'Monthly inputs'!R11,'Monthly inputs'!I11))*(('Monthly inputs'!C11-'Monthly inputs'!B11+1)/DAY(DATE(YEAR('Monthly inputs'!B11),MONTH('Monthly inputs'!B11)+1,0))),(IF(Setup!$B$5="manual",'Monthly inputs'!R11,'Monthly inputs'!I11))*(('Monthly inputs'!C11-'Monthly inputs'!B11+1)/DAY(DATE(YEAR('Monthly inputs'!B11),MONTH('Monthly inputs'!B11)+1,0)))),IF(Setup!$B$6="rupee",0,2)),"")</f>
        <v/>
      </c>
      <c r="I11" s="8">
        <f>IF('Monthly inputs'!AQ11="OK",SUM(D11:H11),"")</f>
        <v/>
      </c>
      <c r="J11" s="8">
        <f>IF('Monthly inputs'!AQ11="OK",IF('Monthly inputs'!D11="whole_month",'Monthly inputs'!E11,ROUND('Monthly inputs'!E11*(('Monthly inputs'!C11-'Monthly inputs'!B11+1)/DAY(DATE(YEAR('Monthly inputs'!B11),MONTH('Monthly inputs'!B11)+1,0))),IF(Setup!$B$6="rupee",0,2)))+'Monthly inputs'!S11,"")</f>
        <v/>
      </c>
      <c r="K11" s="8">
        <f>IF('Monthly inputs'!AQ11="OK",IF('Monthly inputs'!D11="whole_month",'Monthly inputs'!F11,ROUND('Monthly inputs'!F11*(('Monthly inputs'!C11-'Monthly inputs'!B11+1)/DAY(DATE(YEAR('Monthly inputs'!B11),MONTH('Monthly inputs'!B11)+1,0))),IF(Setup!$B$6="rupee",0,2)))+'Monthly inputs'!T11,"")</f>
        <v/>
      </c>
      <c r="L11" s="8">
        <f>IF('Monthly inputs'!AQ11="OK",IF('Monthly inputs'!D11="whole_month",'Monthly inputs'!G11,ROUND('Monthly inputs'!G11*(('Monthly inputs'!C11-'Monthly inputs'!B11+1)/DAY(DATE(YEAR('Monthly inputs'!B11),MONTH('Monthly inputs'!B11)+1,0))),IF(Setup!$B$6="rupee",0,2)))+'Monthly inputs'!U11,"")</f>
        <v/>
      </c>
      <c r="M11" s="8">
        <f>IF('Monthly inputs'!AQ11="OK",IF('Monthly inputs'!D11="whole_month",'Monthly inputs'!H11,ROUND('Monthly inputs'!H11*(('Monthly inputs'!C11-'Monthly inputs'!B11+1)/DAY(DATE(YEAR('Monthly inputs'!B11),MONTH('Monthly inputs'!B11)+1,0))),IF(Setup!$B$6="rupee",0,2)))+'Monthly inputs'!V11,"")</f>
        <v/>
      </c>
      <c r="N11" s="8">
        <f>IF('Monthly inputs'!AQ11="OK",IF('Monthly inputs'!D11="whole_month",'Monthly inputs'!I11,ROUND('Monthly inputs'!I11*(('Monthly inputs'!C11-'Monthly inputs'!B11+1)/DAY(DATE(YEAR('Monthly inputs'!B11),MONTH('Monthly inputs'!B11)+1,0))),IF(Setup!$B$6="rupee",0,2)))+'Monthly inputs'!W11,"")</f>
        <v/>
      </c>
      <c r="O11" s="8">
        <f>IF('Monthly inputs'!AQ11="OK",SUM(J11:N11),"")</f>
        <v/>
      </c>
      <c r="P11" s="8">
        <f>IF('Monthly inputs'!AQ11="OK",D11-J11,"")</f>
        <v/>
      </c>
      <c r="Q11" s="8">
        <f>IF('Monthly inputs'!AQ11="OK",E11-K11,"")</f>
        <v/>
      </c>
      <c r="R11" s="8">
        <f>IF('Monthly inputs'!AQ11="OK",F11-L11,"")</f>
        <v/>
      </c>
      <c r="S11" s="8">
        <f>IF('Monthly inputs'!AQ11="OK",G11-M11,"")</f>
        <v/>
      </c>
      <c r="T11" s="8">
        <f>IF('Monthly inputs'!AQ11="OK",H11-N11,"")</f>
        <v/>
      </c>
      <c r="U11" s="8">
        <f>IF('Monthly inputs'!AQ11="OK",SUM(P11:T11),"")</f>
        <v/>
      </c>
      <c r="V11" s="8">
        <f>IF('Monthly inputs'!AQ11="OK",IF(Setup!$B$7="jodhpur_classic",'Monthly inputs'!X11,'Monthly inputs'!AB11),"")</f>
        <v/>
      </c>
      <c r="W11" s="8">
        <f>IF('Monthly inputs'!AQ11="OK",IF(Setup!$B$7="jodhpur_classic",'Monthly inputs'!Y11,'Monthly inputs'!AC11),"")</f>
        <v/>
      </c>
      <c r="X11" s="8">
        <f>IF('Monthly inputs'!AQ11="OK",IF(Setup!$B$7="jodhpur_classic",'Monthly inputs'!Z11,'Monthly inputs'!AD11),"")</f>
        <v/>
      </c>
      <c r="Y11" s="8">
        <f>IF('Monthly inputs'!AQ11="OK",IF(Setup!$B$7="jodhpur_classic",'Monthly inputs'!AA11,'Monthly inputs'!AA11),"")</f>
        <v/>
      </c>
      <c r="Z11" s="8">
        <f>IF('Monthly inputs'!AQ11="OK",IF(Setup!$B$7="jodhpur_classic",SUM(V11:Y11),V11+Y11),"")</f>
        <v/>
      </c>
      <c r="AA11" s="8">
        <f>IF('Monthly inputs'!AQ11="OK",U11-Z11,"")</f>
        <v/>
      </c>
    </row>
    <row r="12" ht="24" customHeight="1">
      <c r="A12" s="7">
        <f>IF('Monthly inputs'!AQ12="OK",IF(AND(DAY('Monthly inputs'!B12)=1,DAY('Monthly inputs'!C12)=DAY(DATE(YEAR('Monthly inputs'!C12),MONTH('Monthly inputs'!C12)+1,0))),'Monthly inputs'!A12,TEXT('Monthly inputs'!B12,"dd/mm/yyyy")&amp;CHAR(10)&amp;TEXT('Monthly inputs'!C12,"dd/mm/yyyy")),"")</f>
        <v/>
      </c>
      <c r="B12" s="7">
        <f>IF('Monthly inputs'!AQ12="OK",'Monthly inputs'!AK12&amp;IF('Monthly inputs'!AL12="","",CHAR(10)&amp;'Monthly inputs'!AL12),"")</f>
        <v/>
      </c>
      <c r="C12" s="7">
        <f>IF('Monthly inputs'!AQ12="OK",'Monthly inputs'!AM12&amp;IF('Monthly inputs'!AN12="","",CHAR(10)&amp;'Monthly inputs'!AN12),"")</f>
        <v/>
      </c>
      <c r="D12" s="8">
        <f>IF('Monthly inputs'!AQ12="OK",ROUND(IF('Monthly inputs'!D12="whole_month",'Monthly inputs'!E12*(1-(('Monthly inputs'!C12-'Monthly inputs'!B12+1)/DAY(DATE(YEAR('Monthly inputs'!B12),MONTH('Monthly inputs'!B12)+1,0))))+(IF(Setup!$B$5="manual",'Monthly inputs'!N12,IF(Setup!$B$5="increment",'Monthly inputs'!J12,'Monthly inputs'!E12)))*(('Monthly inputs'!C12-'Monthly inputs'!B12+1)/DAY(DATE(YEAR('Monthly inputs'!B12),MONTH('Monthly inputs'!B12)+1,0))),(IF(Setup!$B$5="manual",'Monthly inputs'!N12,IF(Setup!$B$5="increment",'Monthly inputs'!J12,'Monthly inputs'!E12)))*(('Monthly inputs'!C12-'Monthly inputs'!B12+1)/DAY(DATE(YEAR('Monthly inputs'!B12),MONTH('Monthly inputs'!B12)+1,0)))),IF(Setup!$B$6="rupee",0,2)),"")</f>
        <v/>
      </c>
      <c r="E12" s="8">
        <f>IF('Monthly inputs'!AQ12="OK",ROUND(IF('Monthly inputs'!D12="whole_month",'Monthly inputs'!F12*(1-(('Monthly inputs'!C12-'Monthly inputs'!B12+1)/DAY(DATE(YEAR('Monthly inputs'!B12),MONTH('Monthly inputs'!B12)+1,0))))+(IF(Setup!$B$5="manual",'Monthly inputs'!O12,IF(OR(Setup!$B$5="increment",Setup!$B$5="da"),(IF(Setup!$B$5="increment",'Monthly inputs'!J12,'Monthly inputs'!E12))*'Monthly inputs'!K12/100,'Monthly inputs'!F12)))*(('Monthly inputs'!C12-'Monthly inputs'!B12+1)/DAY(DATE(YEAR('Monthly inputs'!B12),MONTH('Monthly inputs'!B12)+1,0))),(IF(Setup!$B$5="manual",'Monthly inputs'!O12,IF(OR(Setup!$B$5="increment",Setup!$B$5="da"),(IF(Setup!$B$5="increment",'Monthly inputs'!J12,'Monthly inputs'!E12))*'Monthly inputs'!K12/100,'Monthly inputs'!F12)))*(('Monthly inputs'!C12-'Monthly inputs'!B12+1)/DAY(DATE(YEAR('Monthly inputs'!B12),MONTH('Monthly inputs'!B12)+1,0)))),IF(Setup!$B$6="rupee",0,2)),"")</f>
        <v/>
      </c>
      <c r="F12" s="8">
        <f>IF('Monthly inputs'!AQ12="OK",ROUND(IF('Monthly inputs'!D12="whole_month",'Monthly inputs'!G12*(1-(('Monthly inputs'!C12-'Monthly inputs'!B12+1)/DAY(DATE(YEAR('Monthly inputs'!B12),MONTH('Monthly inputs'!B12)+1,0))))+(IF(Setup!$B$5="manual",'Monthly inputs'!P12,IF(OR(Setup!$B$5="increment",Setup!$B$5="hra"),(IF(Setup!$B$5="increment",'Monthly inputs'!J12,'Monthly inputs'!E12))*'Monthly inputs'!L12/100,'Monthly inputs'!G12)))*(('Monthly inputs'!C12-'Monthly inputs'!B12+1)/DAY(DATE(YEAR('Monthly inputs'!B12),MONTH('Monthly inputs'!B12)+1,0))),(IF(Setup!$B$5="manual",'Monthly inputs'!P12,IF(OR(Setup!$B$5="increment",Setup!$B$5="hra"),(IF(Setup!$B$5="increment",'Monthly inputs'!J12,'Monthly inputs'!E12))*'Monthly inputs'!L12/100,'Monthly inputs'!G12)))*(('Monthly inputs'!C12-'Monthly inputs'!B12+1)/DAY(DATE(YEAR('Monthly inputs'!B12),MONTH('Monthly inputs'!B12)+1,0)))),IF(Setup!$B$6="rupee",0,2)),"")</f>
        <v/>
      </c>
      <c r="G12" s="8">
        <f>IF('Monthly inputs'!AQ12="OK",ROUND(IF('Monthly inputs'!D12="whole_month",'Monthly inputs'!H12*(1-(('Monthly inputs'!C12-'Monthly inputs'!B12+1)/DAY(DATE(YEAR('Monthly inputs'!B12),MONTH('Monthly inputs'!B12)+1,0))))+(IF(Setup!$B$5="manual",'Monthly inputs'!Q12,IF(AND(OR(Setup!$B$5="increment",Setup!$B$5="da"),Setup!$B$8="Yes"),((IF(Setup!$B$5="increment",'Monthly inputs'!J12,'Monthly inputs'!E12))+((IF(Setup!$B$5="increment",'Monthly inputs'!J12,'Monthly inputs'!E12))*'Monthly inputs'!K12/100))/'Monthly inputs'!M12,'Monthly inputs'!H12)))*(('Monthly inputs'!C12-'Monthly inputs'!B12+1)/DAY(DATE(YEAR('Monthly inputs'!B12),MONTH('Monthly inputs'!B12)+1,0))),(IF(Setup!$B$5="manual",'Monthly inputs'!Q12,IF(AND(OR(Setup!$B$5="increment",Setup!$B$5="da"),Setup!$B$8="Yes"),((IF(Setup!$B$5="increment",'Monthly inputs'!J12,'Monthly inputs'!E12))+((IF(Setup!$B$5="increment",'Monthly inputs'!J12,'Monthly inputs'!E12))*'Monthly inputs'!K12/100))/'Monthly inputs'!M12,'Monthly inputs'!H12)))*(('Monthly inputs'!C12-'Monthly inputs'!B12+1)/DAY(DATE(YEAR('Monthly inputs'!B12),MONTH('Monthly inputs'!B12)+1,0)))),IF(Setup!$B$6="rupee",0,2)),"")</f>
        <v/>
      </c>
      <c r="H12" s="8">
        <f>IF('Monthly inputs'!AQ12="OK",ROUND(IF('Monthly inputs'!D12="whole_month",'Monthly inputs'!I12*(1-(('Monthly inputs'!C12-'Monthly inputs'!B12+1)/DAY(DATE(YEAR('Monthly inputs'!B12),MONTH('Monthly inputs'!B12)+1,0))))+(IF(Setup!$B$5="manual",'Monthly inputs'!R12,'Monthly inputs'!I12))*(('Monthly inputs'!C12-'Monthly inputs'!B12+1)/DAY(DATE(YEAR('Monthly inputs'!B12),MONTH('Monthly inputs'!B12)+1,0))),(IF(Setup!$B$5="manual",'Monthly inputs'!R12,'Monthly inputs'!I12))*(('Monthly inputs'!C12-'Monthly inputs'!B12+1)/DAY(DATE(YEAR('Monthly inputs'!B12),MONTH('Monthly inputs'!B12)+1,0)))),IF(Setup!$B$6="rupee",0,2)),"")</f>
        <v/>
      </c>
      <c r="I12" s="8">
        <f>IF('Monthly inputs'!AQ12="OK",SUM(D12:H12),"")</f>
        <v/>
      </c>
      <c r="J12" s="8">
        <f>IF('Monthly inputs'!AQ12="OK",IF('Monthly inputs'!D12="whole_month",'Monthly inputs'!E12,ROUND('Monthly inputs'!E12*(('Monthly inputs'!C12-'Monthly inputs'!B12+1)/DAY(DATE(YEAR('Monthly inputs'!B12),MONTH('Monthly inputs'!B12)+1,0))),IF(Setup!$B$6="rupee",0,2)))+'Monthly inputs'!S12,"")</f>
        <v/>
      </c>
      <c r="K12" s="8">
        <f>IF('Monthly inputs'!AQ12="OK",IF('Monthly inputs'!D12="whole_month",'Monthly inputs'!F12,ROUND('Monthly inputs'!F12*(('Monthly inputs'!C12-'Monthly inputs'!B12+1)/DAY(DATE(YEAR('Monthly inputs'!B12),MONTH('Monthly inputs'!B12)+1,0))),IF(Setup!$B$6="rupee",0,2)))+'Monthly inputs'!T12,"")</f>
        <v/>
      </c>
      <c r="L12" s="8">
        <f>IF('Monthly inputs'!AQ12="OK",IF('Monthly inputs'!D12="whole_month",'Monthly inputs'!G12,ROUND('Monthly inputs'!G12*(('Monthly inputs'!C12-'Monthly inputs'!B12+1)/DAY(DATE(YEAR('Monthly inputs'!B12),MONTH('Monthly inputs'!B12)+1,0))),IF(Setup!$B$6="rupee",0,2)))+'Monthly inputs'!U12,"")</f>
        <v/>
      </c>
      <c r="M12" s="8">
        <f>IF('Monthly inputs'!AQ12="OK",IF('Monthly inputs'!D12="whole_month",'Monthly inputs'!H12,ROUND('Monthly inputs'!H12*(('Monthly inputs'!C12-'Monthly inputs'!B12+1)/DAY(DATE(YEAR('Monthly inputs'!B12),MONTH('Monthly inputs'!B12)+1,0))),IF(Setup!$B$6="rupee",0,2)))+'Monthly inputs'!V12,"")</f>
        <v/>
      </c>
      <c r="N12" s="8">
        <f>IF('Monthly inputs'!AQ12="OK",IF('Monthly inputs'!D12="whole_month",'Monthly inputs'!I12,ROUND('Monthly inputs'!I12*(('Monthly inputs'!C12-'Monthly inputs'!B12+1)/DAY(DATE(YEAR('Monthly inputs'!B12),MONTH('Monthly inputs'!B12)+1,0))),IF(Setup!$B$6="rupee",0,2)))+'Monthly inputs'!W12,"")</f>
        <v/>
      </c>
      <c r="O12" s="8">
        <f>IF('Monthly inputs'!AQ12="OK",SUM(J12:N12),"")</f>
        <v/>
      </c>
      <c r="P12" s="8">
        <f>IF('Monthly inputs'!AQ12="OK",D12-J12,"")</f>
        <v/>
      </c>
      <c r="Q12" s="8">
        <f>IF('Monthly inputs'!AQ12="OK",E12-K12,"")</f>
        <v/>
      </c>
      <c r="R12" s="8">
        <f>IF('Monthly inputs'!AQ12="OK",F12-L12,"")</f>
        <v/>
      </c>
      <c r="S12" s="8">
        <f>IF('Monthly inputs'!AQ12="OK",G12-M12,"")</f>
        <v/>
      </c>
      <c r="T12" s="8">
        <f>IF('Monthly inputs'!AQ12="OK",H12-N12,"")</f>
        <v/>
      </c>
      <c r="U12" s="8">
        <f>IF('Monthly inputs'!AQ12="OK",SUM(P12:T12),"")</f>
        <v/>
      </c>
      <c r="V12" s="8">
        <f>IF('Monthly inputs'!AQ12="OK",IF(Setup!$B$7="jodhpur_classic",'Monthly inputs'!X12,'Monthly inputs'!AB12),"")</f>
        <v/>
      </c>
      <c r="W12" s="8">
        <f>IF('Monthly inputs'!AQ12="OK",IF(Setup!$B$7="jodhpur_classic",'Monthly inputs'!Y12,'Monthly inputs'!AC12),"")</f>
        <v/>
      </c>
      <c r="X12" s="8">
        <f>IF('Monthly inputs'!AQ12="OK",IF(Setup!$B$7="jodhpur_classic",'Monthly inputs'!Z12,'Monthly inputs'!AD12),"")</f>
        <v/>
      </c>
      <c r="Y12" s="8">
        <f>IF('Monthly inputs'!AQ12="OK",IF(Setup!$B$7="jodhpur_classic",'Monthly inputs'!AA12,'Monthly inputs'!AA12),"")</f>
        <v/>
      </c>
      <c r="Z12" s="8">
        <f>IF('Monthly inputs'!AQ12="OK",IF(Setup!$B$7="jodhpur_classic",SUM(V12:Y12),V12+Y12),"")</f>
        <v/>
      </c>
      <c r="AA12" s="8">
        <f>IF('Monthly inputs'!AQ12="OK",U12-Z12,"")</f>
        <v/>
      </c>
    </row>
    <row r="13" ht="24" customHeight="1">
      <c r="A13" s="7">
        <f>IF('Monthly inputs'!AQ13="OK",IF(AND(DAY('Monthly inputs'!B13)=1,DAY('Monthly inputs'!C13)=DAY(DATE(YEAR('Monthly inputs'!C13),MONTH('Monthly inputs'!C13)+1,0))),'Monthly inputs'!A13,TEXT('Monthly inputs'!B13,"dd/mm/yyyy")&amp;CHAR(10)&amp;TEXT('Monthly inputs'!C13,"dd/mm/yyyy")),"")</f>
        <v/>
      </c>
      <c r="B13" s="7">
        <f>IF('Monthly inputs'!AQ13="OK",'Monthly inputs'!AK13&amp;IF('Monthly inputs'!AL13="","",CHAR(10)&amp;'Monthly inputs'!AL13),"")</f>
        <v/>
      </c>
      <c r="C13" s="7">
        <f>IF('Monthly inputs'!AQ13="OK",'Monthly inputs'!AM13&amp;IF('Monthly inputs'!AN13="","",CHAR(10)&amp;'Monthly inputs'!AN13),"")</f>
        <v/>
      </c>
      <c r="D13" s="8">
        <f>IF('Monthly inputs'!AQ13="OK",ROUND(IF('Monthly inputs'!D13="whole_month",'Monthly inputs'!E13*(1-(('Monthly inputs'!C13-'Monthly inputs'!B13+1)/DAY(DATE(YEAR('Monthly inputs'!B13),MONTH('Monthly inputs'!B13)+1,0))))+(IF(Setup!$B$5="manual",'Monthly inputs'!N13,IF(Setup!$B$5="increment",'Monthly inputs'!J13,'Monthly inputs'!E13)))*(('Monthly inputs'!C13-'Monthly inputs'!B13+1)/DAY(DATE(YEAR('Monthly inputs'!B13),MONTH('Monthly inputs'!B13)+1,0))),(IF(Setup!$B$5="manual",'Monthly inputs'!N13,IF(Setup!$B$5="increment",'Monthly inputs'!J13,'Monthly inputs'!E13)))*(('Monthly inputs'!C13-'Monthly inputs'!B13+1)/DAY(DATE(YEAR('Monthly inputs'!B13),MONTH('Monthly inputs'!B13)+1,0)))),IF(Setup!$B$6="rupee",0,2)),"")</f>
        <v/>
      </c>
      <c r="E13" s="8">
        <f>IF('Monthly inputs'!AQ13="OK",ROUND(IF('Monthly inputs'!D13="whole_month",'Monthly inputs'!F13*(1-(('Monthly inputs'!C13-'Monthly inputs'!B13+1)/DAY(DATE(YEAR('Monthly inputs'!B13),MONTH('Monthly inputs'!B13)+1,0))))+(IF(Setup!$B$5="manual",'Monthly inputs'!O13,IF(OR(Setup!$B$5="increment",Setup!$B$5="da"),(IF(Setup!$B$5="increment",'Monthly inputs'!J13,'Monthly inputs'!E13))*'Monthly inputs'!K13/100,'Monthly inputs'!F13)))*(('Monthly inputs'!C13-'Monthly inputs'!B13+1)/DAY(DATE(YEAR('Monthly inputs'!B13),MONTH('Monthly inputs'!B13)+1,0))),(IF(Setup!$B$5="manual",'Monthly inputs'!O13,IF(OR(Setup!$B$5="increment",Setup!$B$5="da"),(IF(Setup!$B$5="increment",'Monthly inputs'!J13,'Monthly inputs'!E13))*'Monthly inputs'!K13/100,'Monthly inputs'!F13)))*(('Monthly inputs'!C13-'Monthly inputs'!B13+1)/DAY(DATE(YEAR('Monthly inputs'!B13),MONTH('Monthly inputs'!B13)+1,0)))),IF(Setup!$B$6="rupee",0,2)),"")</f>
        <v/>
      </c>
      <c r="F13" s="8">
        <f>IF('Monthly inputs'!AQ13="OK",ROUND(IF('Monthly inputs'!D13="whole_month",'Monthly inputs'!G13*(1-(('Monthly inputs'!C13-'Monthly inputs'!B13+1)/DAY(DATE(YEAR('Monthly inputs'!B13),MONTH('Monthly inputs'!B13)+1,0))))+(IF(Setup!$B$5="manual",'Monthly inputs'!P13,IF(OR(Setup!$B$5="increment",Setup!$B$5="hra"),(IF(Setup!$B$5="increment",'Monthly inputs'!J13,'Monthly inputs'!E13))*'Monthly inputs'!L13/100,'Monthly inputs'!G13)))*(('Monthly inputs'!C13-'Monthly inputs'!B13+1)/DAY(DATE(YEAR('Monthly inputs'!B13),MONTH('Monthly inputs'!B13)+1,0))),(IF(Setup!$B$5="manual",'Monthly inputs'!P13,IF(OR(Setup!$B$5="increment",Setup!$B$5="hra"),(IF(Setup!$B$5="increment",'Monthly inputs'!J13,'Monthly inputs'!E13))*'Monthly inputs'!L13/100,'Monthly inputs'!G13)))*(('Monthly inputs'!C13-'Monthly inputs'!B13+1)/DAY(DATE(YEAR('Monthly inputs'!B13),MONTH('Monthly inputs'!B13)+1,0)))),IF(Setup!$B$6="rupee",0,2)),"")</f>
        <v/>
      </c>
      <c r="G13" s="8">
        <f>IF('Monthly inputs'!AQ13="OK",ROUND(IF('Monthly inputs'!D13="whole_month",'Monthly inputs'!H13*(1-(('Monthly inputs'!C13-'Monthly inputs'!B13+1)/DAY(DATE(YEAR('Monthly inputs'!B13),MONTH('Monthly inputs'!B13)+1,0))))+(IF(Setup!$B$5="manual",'Monthly inputs'!Q13,IF(AND(OR(Setup!$B$5="increment",Setup!$B$5="da"),Setup!$B$8="Yes"),((IF(Setup!$B$5="increment",'Monthly inputs'!J13,'Monthly inputs'!E13))+((IF(Setup!$B$5="increment",'Monthly inputs'!J13,'Monthly inputs'!E13))*'Monthly inputs'!K13/100))/'Monthly inputs'!M13,'Monthly inputs'!H13)))*(('Monthly inputs'!C13-'Monthly inputs'!B13+1)/DAY(DATE(YEAR('Monthly inputs'!B13),MONTH('Monthly inputs'!B13)+1,0))),(IF(Setup!$B$5="manual",'Monthly inputs'!Q13,IF(AND(OR(Setup!$B$5="increment",Setup!$B$5="da"),Setup!$B$8="Yes"),((IF(Setup!$B$5="increment",'Monthly inputs'!J13,'Monthly inputs'!E13))+((IF(Setup!$B$5="increment",'Monthly inputs'!J13,'Monthly inputs'!E13))*'Monthly inputs'!K13/100))/'Monthly inputs'!M13,'Monthly inputs'!H13)))*(('Monthly inputs'!C13-'Monthly inputs'!B13+1)/DAY(DATE(YEAR('Monthly inputs'!B13),MONTH('Monthly inputs'!B13)+1,0)))),IF(Setup!$B$6="rupee",0,2)),"")</f>
        <v/>
      </c>
      <c r="H13" s="8">
        <f>IF('Monthly inputs'!AQ13="OK",ROUND(IF('Monthly inputs'!D13="whole_month",'Monthly inputs'!I13*(1-(('Monthly inputs'!C13-'Monthly inputs'!B13+1)/DAY(DATE(YEAR('Monthly inputs'!B13),MONTH('Monthly inputs'!B13)+1,0))))+(IF(Setup!$B$5="manual",'Monthly inputs'!R13,'Monthly inputs'!I13))*(('Monthly inputs'!C13-'Monthly inputs'!B13+1)/DAY(DATE(YEAR('Monthly inputs'!B13),MONTH('Monthly inputs'!B13)+1,0))),(IF(Setup!$B$5="manual",'Monthly inputs'!R13,'Monthly inputs'!I13))*(('Monthly inputs'!C13-'Monthly inputs'!B13+1)/DAY(DATE(YEAR('Monthly inputs'!B13),MONTH('Monthly inputs'!B13)+1,0)))),IF(Setup!$B$6="rupee",0,2)),"")</f>
        <v/>
      </c>
      <c r="I13" s="8">
        <f>IF('Monthly inputs'!AQ13="OK",SUM(D13:H13),"")</f>
        <v/>
      </c>
      <c r="J13" s="8">
        <f>IF('Monthly inputs'!AQ13="OK",IF('Monthly inputs'!D13="whole_month",'Monthly inputs'!E13,ROUND('Monthly inputs'!E13*(('Monthly inputs'!C13-'Monthly inputs'!B13+1)/DAY(DATE(YEAR('Monthly inputs'!B13),MONTH('Monthly inputs'!B13)+1,0))),IF(Setup!$B$6="rupee",0,2)))+'Monthly inputs'!S13,"")</f>
        <v/>
      </c>
      <c r="K13" s="8">
        <f>IF('Monthly inputs'!AQ13="OK",IF('Monthly inputs'!D13="whole_month",'Monthly inputs'!F13,ROUND('Monthly inputs'!F13*(('Monthly inputs'!C13-'Monthly inputs'!B13+1)/DAY(DATE(YEAR('Monthly inputs'!B13),MONTH('Monthly inputs'!B13)+1,0))),IF(Setup!$B$6="rupee",0,2)))+'Monthly inputs'!T13,"")</f>
        <v/>
      </c>
      <c r="L13" s="8">
        <f>IF('Monthly inputs'!AQ13="OK",IF('Monthly inputs'!D13="whole_month",'Monthly inputs'!G13,ROUND('Monthly inputs'!G13*(('Monthly inputs'!C13-'Monthly inputs'!B13+1)/DAY(DATE(YEAR('Monthly inputs'!B13),MONTH('Monthly inputs'!B13)+1,0))),IF(Setup!$B$6="rupee",0,2)))+'Monthly inputs'!U13,"")</f>
        <v/>
      </c>
      <c r="M13" s="8">
        <f>IF('Monthly inputs'!AQ13="OK",IF('Monthly inputs'!D13="whole_month",'Monthly inputs'!H13,ROUND('Monthly inputs'!H13*(('Monthly inputs'!C13-'Monthly inputs'!B13+1)/DAY(DATE(YEAR('Monthly inputs'!B13),MONTH('Monthly inputs'!B13)+1,0))),IF(Setup!$B$6="rupee",0,2)))+'Monthly inputs'!V13,"")</f>
        <v/>
      </c>
      <c r="N13" s="8">
        <f>IF('Monthly inputs'!AQ13="OK",IF('Monthly inputs'!D13="whole_month",'Monthly inputs'!I13,ROUND('Monthly inputs'!I13*(('Monthly inputs'!C13-'Monthly inputs'!B13+1)/DAY(DATE(YEAR('Monthly inputs'!B13),MONTH('Monthly inputs'!B13)+1,0))),IF(Setup!$B$6="rupee",0,2)))+'Monthly inputs'!W13,"")</f>
        <v/>
      </c>
      <c r="O13" s="8">
        <f>IF('Monthly inputs'!AQ13="OK",SUM(J13:N13),"")</f>
        <v/>
      </c>
      <c r="P13" s="8">
        <f>IF('Monthly inputs'!AQ13="OK",D13-J13,"")</f>
        <v/>
      </c>
      <c r="Q13" s="8">
        <f>IF('Monthly inputs'!AQ13="OK",E13-K13,"")</f>
        <v/>
      </c>
      <c r="R13" s="8">
        <f>IF('Monthly inputs'!AQ13="OK",F13-L13,"")</f>
        <v/>
      </c>
      <c r="S13" s="8">
        <f>IF('Monthly inputs'!AQ13="OK",G13-M13,"")</f>
        <v/>
      </c>
      <c r="T13" s="8">
        <f>IF('Monthly inputs'!AQ13="OK",H13-N13,"")</f>
        <v/>
      </c>
      <c r="U13" s="8">
        <f>IF('Monthly inputs'!AQ13="OK",SUM(P13:T13),"")</f>
        <v/>
      </c>
      <c r="V13" s="8">
        <f>IF('Monthly inputs'!AQ13="OK",IF(Setup!$B$7="jodhpur_classic",'Monthly inputs'!X13,'Monthly inputs'!AB13),"")</f>
        <v/>
      </c>
      <c r="W13" s="8">
        <f>IF('Monthly inputs'!AQ13="OK",IF(Setup!$B$7="jodhpur_classic",'Monthly inputs'!Y13,'Monthly inputs'!AC13),"")</f>
        <v/>
      </c>
      <c r="X13" s="8">
        <f>IF('Monthly inputs'!AQ13="OK",IF(Setup!$B$7="jodhpur_classic",'Monthly inputs'!Z13,'Monthly inputs'!AD13),"")</f>
        <v/>
      </c>
      <c r="Y13" s="8">
        <f>IF('Monthly inputs'!AQ13="OK",IF(Setup!$B$7="jodhpur_classic",'Monthly inputs'!AA13,'Monthly inputs'!AA13),"")</f>
        <v/>
      </c>
      <c r="Z13" s="8">
        <f>IF('Monthly inputs'!AQ13="OK",IF(Setup!$B$7="jodhpur_classic",SUM(V13:Y13),V13+Y13),"")</f>
        <v/>
      </c>
      <c r="AA13" s="8">
        <f>IF('Monthly inputs'!AQ13="OK",U13-Z13,"")</f>
        <v/>
      </c>
    </row>
    <row r="14" ht="24" customHeight="1">
      <c r="A14" s="7">
        <f>IF('Monthly inputs'!AQ14="OK",IF(AND(DAY('Monthly inputs'!B14)=1,DAY('Monthly inputs'!C14)=DAY(DATE(YEAR('Monthly inputs'!C14),MONTH('Monthly inputs'!C14)+1,0))),'Monthly inputs'!A14,TEXT('Monthly inputs'!B14,"dd/mm/yyyy")&amp;CHAR(10)&amp;TEXT('Monthly inputs'!C14,"dd/mm/yyyy")),"")</f>
        <v/>
      </c>
      <c r="B14" s="7">
        <f>IF('Monthly inputs'!AQ14="OK",'Monthly inputs'!AK14&amp;IF('Monthly inputs'!AL14="","",CHAR(10)&amp;'Monthly inputs'!AL14),"")</f>
        <v/>
      </c>
      <c r="C14" s="7">
        <f>IF('Monthly inputs'!AQ14="OK",'Monthly inputs'!AM14&amp;IF('Monthly inputs'!AN14="","",CHAR(10)&amp;'Monthly inputs'!AN14),"")</f>
        <v/>
      </c>
      <c r="D14" s="8">
        <f>IF('Monthly inputs'!AQ14="OK",ROUND(IF('Monthly inputs'!D14="whole_month",'Monthly inputs'!E14*(1-(('Monthly inputs'!C14-'Monthly inputs'!B14+1)/DAY(DATE(YEAR('Monthly inputs'!B14),MONTH('Monthly inputs'!B14)+1,0))))+(IF(Setup!$B$5="manual",'Monthly inputs'!N14,IF(Setup!$B$5="increment",'Monthly inputs'!J14,'Monthly inputs'!E14)))*(('Monthly inputs'!C14-'Monthly inputs'!B14+1)/DAY(DATE(YEAR('Monthly inputs'!B14),MONTH('Monthly inputs'!B14)+1,0))),(IF(Setup!$B$5="manual",'Monthly inputs'!N14,IF(Setup!$B$5="increment",'Monthly inputs'!J14,'Monthly inputs'!E14)))*(('Monthly inputs'!C14-'Monthly inputs'!B14+1)/DAY(DATE(YEAR('Monthly inputs'!B14),MONTH('Monthly inputs'!B14)+1,0)))),IF(Setup!$B$6="rupee",0,2)),"")</f>
        <v/>
      </c>
      <c r="E14" s="8">
        <f>IF('Monthly inputs'!AQ14="OK",ROUND(IF('Monthly inputs'!D14="whole_month",'Monthly inputs'!F14*(1-(('Monthly inputs'!C14-'Monthly inputs'!B14+1)/DAY(DATE(YEAR('Monthly inputs'!B14),MONTH('Monthly inputs'!B14)+1,0))))+(IF(Setup!$B$5="manual",'Monthly inputs'!O14,IF(OR(Setup!$B$5="increment",Setup!$B$5="da"),(IF(Setup!$B$5="increment",'Monthly inputs'!J14,'Monthly inputs'!E14))*'Monthly inputs'!K14/100,'Monthly inputs'!F14)))*(('Monthly inputs'!C14-'Monthly inputs'!B14+1)/DAY(DATE(YEAR('Monthly inputs'!B14),MONTH('Monthly inputs'!B14)+1,0))),(IF(Setup!$B$5="manual",'Monthly inputs'!O14,IF(OR(Setup!$B$5="increment",Setup!$B$5="da"),(IF(Setup!$B$5="increment",'Monthly inputs'!J14,'Monthly inputs'!E14))*'Monthly inputs'!K14/100,'Monthly inputs'!F14)))*(('Monthly inputs'!C14-'Monthly inputs'!B14+1)/DAY(DATE(YEAR('Monthly inputs'!B14),MONTH('Monthly inputs'!B14)+1,0)))),IF(Setup!$B$6="rupee",0,2)),"")</f>
        <v/>
      </c>
      <c r="F14" s="8">
        <f>IF('Monthly inputs'!AQ14="OK",ROUND(IF('Monthly inputs'!D14="whole_month",'Monthly inputs'!G14*(1-(('Monthly inputs'!C14-'Monthly inputs'!B14+1)/DAY(DATE(YEAR('Monthly inputs'!B14),MONTH('Monthly inputs'!B14)+1,0))))+(IF(Setup!$B$5="manual",'Monthly inputs'!P14,IF(OR(Setup!$B$5="increment",Setup!$B$5="hra"),(IF(Setup!$B$5="increment",'Monthly inputs'!J14,'Monthly inputs'!E14))*'Monthly inputs'!L14/100,'Monthly inputs'!G14)))*(('Monthly inputs'!C14-'Monthly inputs'!B14+1)/DAY(DATE(YEAR('Monthly inputs'!B14),MONTH('Monthly inputs'!B14)+1,0))),(IF(Setup!$B$5="manual",'Monthly inputs'!P14,IF(OR(Setup!$B$5="increment",Setup!$B$5="hra"),(IF(Setup!$B$5="increment",'Monthly inputs'!J14,'Monthly inputs'!E14))*'Monthly inputs'!L14/100,'Monthly inputs'!G14)))*(('Monthly inputs'!C14-'Monthly inputs'!B14+1)/DAY(DATE(YEAR('Monthly inputs'!B14),MONTH('Monthly inputs'!B14)+1,0)))),IF(Setup!$B$6="rupee",0,2)),"")</f>
        <v/>
      </c>
      <c r="G14" s="8">
        <f>IF('Monthly inputs'!AQ14="OK",ROUND(IF('Monthly inputs'!D14="whole_month",'Monthly inputs'!H14*(1-(('Monthly inputs'!C14-'Monthly inputs'!B14+1)/DAY(DATE(YEAR('Monthly inputs'!B14),MONTH('Monthly inputs'!B14)+1,0))))+(IF(Setup!$B$5="manual",'Monthly inputs'!Q14,IF(AND(OR(Setup!$B$5="increment",Setup!$B$5="da"),Setup!$B$8="Yes"),((IF(Setup!$B$5="increment",'Monthly inputs'!J14,'Monthly inputs'!E14))+((IF(Setup!$B$5="increment",'Monthly inputs'!J14,'Monthly inputs'!E14))*'Monthly inputs'!K14/100))/'Monthly inputs'!M14,'Monthly inputs'!H14)))*(('Monthly inputs'!C14-'Monthly inputs'!B14+1)/DAY(DATE(YEAR('Monthly inputs'!B14),MONTH('Monthly inputs'!B14)+1,0))),(IF(Setup!$B$5="manual",'Monthly inputs'!Q14,IF(AND(OR(Setup!$B$5="increment",Setup!$B$5="da"),Setup!$B$8="Yes"),((IF(Setup!$B$5="increment",'Monthly inputs'!J14,'Monthly inputs'!E14))+((IF(Setup!$B$5="increment",'Monthly inputs'!J14,'Monthly inputs'!E14))*'Monthly inputs'!K14/100))/'Monthly inputs'!M14,'Monthly inputs'!H14)))*(('Monthly inputs'!C14-'Monthly inputs'!B14+1)/DAY(DATE(YEAR('Monthly inputs'!B14),MONTH('Monthly inputs'!B14)+1,0)))),IF(Setup!$B$6="rupee",0,2)),"")</f>
        <v/>
      </c>
      <c r="H14" s="8">
        <f>IF('Monthly inputs'!AQ14="OK",ROUND(IF('Monthly inputs'!D14="whole_month",'Monthly inputs'!I14*(1-(('Monthly inputs'!C14-'Monthly inputs'!B14+1)/DAY(DATE(YEAR('Monthly inputs'!B14),MONTH('Monthly inputs'!B14)+1,0))))+(IF(Setup!$B$5="manual",'Monthly inputs'!R14,'Monthly inputs'!I14))*(('Monthly inputs'!C14-'Monthly inputs'!B14+1)/DAY(DATE(YEAR('Monthly inputs'!B14),MONTH('Monthly inputs'!B14)+1,0))),(IF(Setup!$B$5="manual",'Monthly inputs'!R14,'Monthly inputs'!I14))*(('Monthly inputs'!C14-'Monthly inputs'!B14+1)/DAY(DATE(YEAR('Monthly inputs'!B14),MONTH('Monthly inputs'!B14)+1,0)))),IF(Setup!$B$6="rupee",0,2)),"")</f>
        <v/>
      </c>
      <c r="I14" s="8">
        <f>IF('Monthly inputs'!AQ14="OK",SUM(D14:H14),"")</f>
        <v/>
      </c>
      <c r="J14" s="8">
        <f>IF('Monthly inputs'!AQ14="OK",IF('Monthly inputs'!D14="whole_month",'Monthly inputs'!E14,ROUND('Monthly inputs'!E14*(('Monthly inputs'!C14-'Monthly inputs'!B14+1)/DAY(DATE(YEAR('Monthly inputs'!B14),MONTH('Monthly inputs'!B14)+1,0))),IF(Setup!$B$6="rupee",0,2)))+'Monthly inputs'!S14,"")</f>
        <v/>
      </c>
      <c r="K14" s="8">
        <f>IF('Monthly inputs'!AQ14="OK",IF('Monthly inputs'!D14="whole_month",'Monthly inputs'!F14,ROUND('Monthly inputs'!F14*(('Monthly inputs'!C14-'Monthly inputs'!B14+1)/DAY(DATE(YEAR('Monthly inputs'!B14),MONTH('Monthly inputs'!B14)+1,0))),IF(Setup!$B$6="rupee",0,2)))+'Monthly inputs'!T14,"")</f>
        <v/>
      </c>
      <c r="L14" s="8">
        <f>IF('Monthly inputs'!AQ14="OK",IF('Monthly inputs'!D14="whole_month",'Monthly inputs'!G14,ROUND('Monthly inputs'!G14*(('Monthly inputs'!C14-'Monthly inputs'!B14+1)/DAY(DATE(YEAR('Monthly inputs'!B14),MONTH('Monthly inputs'!B14)+1,0))),IF(Setup!$B$6="rupee",0,2)))+'Monthly inputs'!U14,"")</f>
        <v/>
      </c>
      <c r="M14" s="8">
        <f>IF('Monthly inputs'!AQ14="OK",IF('Monthly inputs'!D14="whole_month",'Monthly inputs'!H14,ROUND('Monthly inputs'!H14*(('Monthly inputs'!C14-'Monthly inputs'!B14+1)/DAY(DATE(YEAR('Monthly inputs'!B14),MONTH('Monthly inputs'!B14)+1,0))),IF(Setup!$B$6="rupee",0,2)))+'Monthly inputs'!V14,"")</f>
        <v/>
      </c>
      <c r="N14" s="8">
        <f>IF('Monthly inputs'!AQ14="OK",IF('Monthly inputs'!D14="whole_month",'Monthly inputs'!I14,ROUND('Monthly inputs'!I14*(('Monthly inputs'!C14-'Monthly inputs'!B14+1)/DAY(DATE(YEAR('Monthly inputs'!B14),MONTH('Monthly inputs'!B14)+1,0))),IF(Setup!$B$6="rupee",0,2)))+'Monthly inputs'!W14,"")</f>
        <v/>
      </c>
      <c r="O14" s="8">
        <f>IF('Monthly inputs'!AQ14="OK",SUM(J14:N14),"")</f>
        <v/>
      </c>
      <c r="P14" s="8">
        <f>IF('Monthly inputs'!AQ14="OK",D14-J14,"")</f>
        <v/>
      </c>
      <c r="Q14" s="8">
        <f>IF('Monthly inputs'!AQ14="OK",E14-K14,"")</f>
        <v/>
      </c>
      <c r="R14" s="8">
        <f>IF('Monthly inputs'!AQ14="OK",F14-L14,"")</f>
        <v/>
      </c>
      <c r="S14" s="8">
        <f>IF('Monthly inputs'!AQ14="OK",G14-M14,"")</f>
        <v/>
      </c>
      <c r="T14" s="8">
        <f>IF('Monthly inputs'!AQ14="OK",H14-N14,"")</f>
        <v/>
      </c>
      <c r="U14" s="8">
        <f>IF('Monthly inputs'!AQ14="OK",SUM(P14:T14),"")</f>
        <v/>
      </c>
      <c r="V14" s="8">
        <f>IF('Monthly inputs'!AQ14="OK",IF(Setup!$B$7="jodhpur_classic",'Monthly inputs'!X14,'Monthly inputs'!AB14),"")</f>
        <v/>
      </c>
      <c r="W14" s="8">
        <f>IF('Monthly inputs'!AQ14="OK",IF(Setup!$B$7="jodhpur_classic",'Monthly inputs'!Y14,'Monthly inputs'!AC14),"")</f>
        <v/>
      </c>
      <c r="X14" s="8">
        <f>IF('Monthly inputs'!AQ14="OK",IF(Setup!$B$7="jodhpur_classic",'Monthly inputs'!Z14,'Monthly inputs'!AD14),"")</f>
        <v/>
      </c>
      <c r="Y14" s="8">
        <f>IF('Monthly inputs'!AQ14="OK",IF(Setup!$B$7="jodhpur_classic",'Monthly inputs'!AA14,'Monthly inputs'!AA14),"")</f>
        <v/>
      </c>
      <c r="Z14" s="8">
        <f>IF('Monthly inputs'!AQ14="OK",IF(Setup!$B$7="jodhpur_classic",SUM(V14:Y14),V14+Y14),"")</f>
        <v/>
      </c>
      <c r="AA14" s="8">
        <f>IF('Monthly inputs'!AQ14="OK",U14-Z14,"")</f>
        <v/>
      </c>
    </row>
    <row r="15" ht="24" customHeight="1">
      <c r="A15" s="7">
        <f>IF('Monthly inputs'!AQ15="OK",IF(AND(DAY('Monthly inputs'!B15)=1,DAY('Monthly inputs'!C15)=DAY(DATE(YEAR('Monthly inputs'!C15),MONTH('Monthly inputs'!C15)+1,0))),'Monthly inputs'!A15,TEXT('Monthly inputs'!B15,"dd/mm/yyyy")&amp;CHAR(10)&amp;TEXT('Monthly inputs'!C15,"dd/mm/yyyy")),"")</f>
        <v/>
      </c>
      <c r="B15" s="7">
        <f>IF('Monthly inputs'!AQ15="OK",'Monthly inputs'!AK15&amp;IF('Monthly inputs'!AL15="","",CHAR(10)&amp;'Monthly inputs'!AL15),"")</f>
        <v/>
      </c>
      <c r="C15" s="7">
        <f>IF('Monthly inputs'!AQ15="OK",'Monthly inputs'!AM15&amp;IF('Monthly inputs'!AN15="","",CHAR(10)&amp;'Monthly inputs'!AN15),"")</f>
        <v/>
      </c>
      <c r="D15" s="8">
        <f>IF('Monthly inputs'!AQ15="OK",ROUND(IF('Monthly inputs'!D15="whole_month",'Monthly inputs'!E15*(1-(('Monthly inputs'!C15-'Monthly inputs'!B15+1)/DAY(DATE(YEAR('Monthly inputs'!B15),MONTH('Monthly inputs'!B15)+1,0))))+(IF(Setup!$B$5="manual",'Monthly inputs'!N15,IF(Setup!$B$5="increment",'Monthly inputs'!J15,'Monthly inputs'!E15)))*(('Monthly inputs'!C15-'Monthly inputs'!B15+1)/DAY(DATE(YEAR('Monthly inputs'!B15),MONTH('Monthly inputs'!B15)+1,0))),(IF(Setup!$B$5="manual",'Monthly inputs'!N15,IF(Setup!$B$5="increment",'Monthly inputs'!J15,'Monthly inputs'!E15)))*(('Monthly inputs'!C15-'Monthly inputs'!B15+1)/DAY(DATE(YEAR('Monthly inputs'!B15),MONTH('Monthly inputs'!B15)+1,0)))),IF(Setup!$B$6="rupee",0,2)),"")</f>
        <v/>
      </c>
      <c r="E15" s="8">
        <f>IF('Monthly inputs'!AQ15="OK",ROUND(IF('Monthly inputs'!D15="whole_month",'Monthly inputs'!F15*(1-(('Monthly inputs'!C15-'Monthly inputs'!B15+1)/DAY(DATE(YEAR('Monthly inputs'!B15),MONTH('Monthly inputs'!B15)+1,0))))+(IF(Setup!$B$5="manual",'Monthly inputs'!O15,IF(OR(Setup!$B$5="increment",Setup!$B$5="da"),(IF(Setup!$B$5="increment",'Monthly inputs'!J15,'Monthly inputs'!E15))*'Monthly inputs'!K15/100,'Monthly inputs'!F15)))*(('Monthly inputs'!C15-'Monthly inputs'!B15+1)/DAY(DATE(YEAR('Monthly inputs'!B15),MONTH('Monthly inputs'!B15)+1,0))),(IF(Setup!$B$5="manual",'Monthly inputs'!O15,IF(OR(Setup!$B$5="increment",Setup!$B$5="da"),(IF(Setup!$B$5="increment",'Monthly inputs'!J15,'Monthly inputs'!E15))*'Monthly inputs'!K15/100,'Monthly inputs'!F15)))*(('Monthly inputs'!C15-'Monthly inputs'!B15+1)/DAY(DATE(YEAR('Monthly inputs'!B15),MONTH('Monthly inputs'!B15)+1,0)))),IF(Setup!$B$6="rupee",0,2)),"")</f>
        <v/>
      </c>
      <c r="F15" s="8">
        <f>IF('Monthly inputs'!AQ15="OK",ROUND(IF('Monthly inputs'!D15="whole_month",'Monthly inputs'!G15*(1-(('Monthly inputs'!C15-'Monthly inputs'!B15+1)/DAY(DATE(YEAR('Monthly inputs'!B15),MONTH('Monthly inputs'!B15)+1,0))))+(IF(Setup!$B$5="manual",'Monthly inputs'!P15,IF(OR(Setup!$B$5="increment",Setup!$B$5="hra"),(IF(Setup!$B$5="increment",'Monthly inputs'!J15,'Monthly inputs'!E15))*'Monthly inputs'!L15/100,'Monthly inputs'!G15)))*(('Monthly inputs'!C15-'Monthly inputs'!B15+1)/DAY(DATE(YEAR('Monthly inputs'!B15),MONTH('Monthly inputs'!B15)+1,0))),(IF(Setup!$B$5="manual",'Monthly inputs'!P15,IF(OR(Setup!$B$5="increment",Setup!$B$5="hra"),(IF(Setup!$B$5="increment",'Monthly inputs'!J15,'Monthly inputs'!E15))*'Monthly inputs'!L15/100,'Monthly inputs'!G15)))*(('Monthly inputs'!C15-'Monthly inputs'!B15+1)/DAY(DATE(YEAR('Monthly inputs'!B15),MONTH('Monthly inputs'!B15)+1,0)))),IF(Setup!$B$6="rupee",0,2)),"")</f>
        <v/>
      </c>
      <c r="G15" s="8">
        <f>IF('Monthly inputs'!AQ15="OK",ROUND(IF('Monthly inputs'!D15="whole_month",'Monthly inputs'!H15*(1-(('Monthly inputs'!C15-'Monthly inputs'!B15+1)/DAY(DATE(YEAR('Monthly inputs'!B15),MONTH('Monthly inputs'!B15)+1,0))))+(IF(Setup!$B$5="manual",'Monthly inputs'!Q15,IF(AND(OR(Setup!$B$5="increment",Setup!$B$5="da"),Setup!$B$8="Yes"),((IF(Setup!$B$5="increment",'Monthly inputs'!J15,'Monthly inputs'!E15))+((IF(Setup!$B$5="increment",'Monthly inputs'!J15,'Monthly inputs'!E15))*'Monthly inputs'!K15/100))/'Monthly inputs'!M15,'Monthly inputs'!H15)))*(('Monthly inputs'!C15-'Monthly inputs'!B15+1)/DAY(DATE(YEAR('Monthly inputs'!B15),MONTH('Monthly inputs'!B15)+1,0))),(IF(Setup!$B$5="manual",'Monthly inputs'!Q15,IF(AND(OR(Setup!$B$5="increment",Setup!$B$5="da"),Setup!$B$8="Yes"),((IF(Setup!$B$5="increment",'Monthly inputs'!J15,'Monthly inputs'!E15))+((IF(Setup!$B$5="increment",'Monthly inputs'!J15,'Monthly inputs'!E15))*'Monthly inputs'!K15/100))/'Monthly inputs'!M15,'Monthly inputs'!H15)))*(('Monthly inputs'!C15-'Monthly inputs'!B15+1)/DAY(DATE(YEAR('Monthly inputs'!B15),MONTH('Monthly inputs'!B15)+1,0)))),IF(Setup!$B$6="rupee",0,2)),"")</f>
        <v/>
      </c>
      <c r="H15" s="8">
        <f>IF('Monthly inputs'!AQ15="OK",ROUND(IF('Monthly inputs'!D15="whole_month",'Monthly inputs'!I15*(1-(('Monthly inputs'!C15-'Monthly inputs'!B15+1)/DAY(DATE(YEAR('Monthly inputs'!B15),MONTH('Monthly inputs'!B15)+1,0))))+(IF(Setup!$B$5="manual",'Monthly inputs'!R15,'Monthly inputs'!I15))*(('Monthly inputs'!C15-'Monthly inputs'!B15+1)/DAY(DATE(YEAR('Monthly inputs'!B15),MONTH('Monthly inputs'!B15)+1,0))),(IF(Setup!$B$5="manual",'Monthly inputs'!R15,'Monthly inputs'!I15))*(('Monthly inputs'!C15-'Monthly inputs'!B15+1)/DAY(DATE(YEAR('Monthly inputs'!B15),MONTH('Monthly inputs'!B15)+1,0)))),IF(Setup!$B$6="rupee",0,2)),"")</f>
        <v/>
      </c>
      <c r="I15" s="8">
        <f>IF('Monthly inputs'!AQ15="OK",SUM(D15:H15),"")</f>
        <v/>
      </c>
      <c r="J15" s="8">
        <f>IF('Monthly inputs'!AQ15="OK",IF('Monthly inputs'!D15="whole_month",'Monthly inputs'!E15,ROUND('Monthly inputs'!E15*(('Monthly inputs'!C15-'Monthly inputs'!B15+1)/DAY(DATE(YEAR('Monthly inputs'!B15),MONTH('Monthly inputs'!B15)+1,0))),IF(Setup!$B$6="rupee",0,2)))+'Monthly inputs'!S15,"")</f>
        <v/>
      </c>
      <c r="K15" s="8">
        <f>IF('Monthly inputs'!AQ15="OK",IF('Monthly inputs'!D15="whole_month",'Monthly inputs'!F15,ROUND('Monthly inputs'!F15*(('Monthly inputs'!C15-'Monthly inputs'!B15+1)/DAY(DATE(YEAR('Monthly inputs'!B15),MONTH('Monthly inputs'!B15)+1,0))),IF(Setup!$B$6="rupee",0,2)))+'Monthly inputs'!T15,"")</f>
        <v/>
      </c>
      <c r="L15" s="8">
        <f>IF('Monthly inputs'!AQ15="OK",IF('Monthly inputs'!D15="whole_month",'Monthly inputs'!G15,ROUND('Monthly inputs'!G15*(('Monthly inputs'!C15-'Monthly inputs'!B15+1)/DAY(DATE(YEAR('Monthly inputs'!B15),MONTH('Monthly inputs'!B15)+1,0))),IF(Setup!$B$6="rupee",0,2)))+'Monthly inputs'!U15,"")</f>
        <v/>
      </c>
      <c r="M15" s="8">
        <f>IF('Monthly inputs'!AQ15="OK",IF('Monthly inputs'!D15="whole_month",'Monthly inputs'!H15,ROUND('Monthly inputs'!H15*(('Monthly inputs'!C15-'Monthly inputs'!B15+1)/DAY(DATE(YEAR('Monthly inputs'!B15),MONTH('Monthly inputs'!B15)+1,0))),IF(Setup!$B$6="rupee",0,2)))+'Monthly inputs'!V15,"")</f>
        <v/>
      </c>
      <c r="N15" s="8">
        <f>IF('Monthly inputs'!AQ15="OK",IF('Monthly inputs'!D15="whole_month",'Monthly inputs'!I15,ROUND('Monthly inputs'!I15*(('Monthly inputs'!C15-'Monthly inputs'!B15+1)/DAY(DATE(YEAR('Monthly inputs'!B15),MONTH('Monthly inputs'!B15)+1,0))),IF(Setup!$B$6="rupee",0,2)))+'Monthly inputs'!W15,"")</f>
        <v/>
      </c>
      <c r="O15" s="8">
        <f>IF('Monthly inputs'!AQ15="OK",SUM(J15:N15),"")</f>
        <v/>
      </c>
      <c r="P15" s="8">
        <f>IF('Monthly inputs'!AQ15="OK",D15-J15,"")</f>
        <v/>
      </c>
      <c r="Q15" s="8">
        <f>IF('Monthly inputs'!AQ15="OK",E15-K15,"")</f>
        <v/>
      </c>
      <c r="R15" s="8">
        <f>IF('Monthly inputs'!AQ15="OK",F15-L15,"")</f>
        <v/>
      </c>
      <c r="S15" s="8">
        <f>IF('Monthly inputs'!AQ15="OK",G15-M15,"")</f>
        <v/>
      </c>
      <c r="T15" s="8">
        <f>IF('Monthly inputs'!AQ15="OK",H15-N15,"")</f>
        <v/>
      </c>
      <c r="U15" s="8">
        <f>IF('Monthly inputs'!AQ15="OK",SUM(P15:T15),"")</f>
        <v/>
      </c>
      <c r="V15" s="8">
        <f>IF('Monthly inputs'!AQ15="OK",IF(Setup!$B$7="jodhpur_classic",'Monthly inputs'!X15,'Monthly inputs'!AB15),"")</f>
        <v/>
      </c>
      <c r="W15" s="8">
        <f>IF('Monthly inputs'!AQ15="OK",IF(Setup!$B$7="jodhpur_classic",'Monthly inputs'!Y15,'Monthly inputs'!AC15),"")</f>
        <v/>
      </c>
      <c r="X15" s="8">
        <f>IF('Monthly inputs'!AQ15="OK",IF(Setup!$B$7="jodhpur_classic",'Monthly inputs'!Z15,'Monthly inputs'!AD15),"")</f>
        <v/>
      </c>
      <c r="Y15" s="8">
        <f>IF('Monthly inputs'!AQ15="OK",IF(Setup!$B$7="jodhpur_classic",'Monthly inputs'!AA15,'Monthly inputs'!AA15),"")</f>
        <v/>
      </c>
      <c r="Z15" s="8">
        <f>IF('Monthly inputs'!AQ15="OK",IF(Setup!$B$7="jodhpur_classic",SUM(V15:Y15),V15+Y15),"")</f>
        <v/>
      </c>
      <c r="AA15" s="8">
        <f>IF('Monthly inputs'!AQ15="OK",U15-Z15,"")</f>
        <v/>
      </c>
    </row>
    <row r="16" ht="24" customHeight="1">
      <c r="A16" s="7">
        <f>IF('Monthly inputs'!AQ16="OK",IF(AND(DAY('Monthly inputs'!B16)=1,DAY('Monthly inputs'!C16)=DAY(DATE(YEAR('Monthly inputs'!C16),MONTH('Monthly inputs'!C16)+1,0))),'Monthly inputs'!A16,TEXT('Monthly inputs'!B16,"dd/mm/yyyy")&amp;CHAR(10)&amp;TEXT('Monthly inputs'!C16,"dd/mm/yyyy")),"")</f>
        <v/>
      </c>
      <c r="B16" s="7">
        <f>IF('Monthly inputs'!AQ16="OK",'Monthly inputs'!AK16&amp;IF('Monthly inputs'!AL16="","",CHAR(10)&amp;'Monthly inputs'!AL16),"")</f>
        <v/>
      </c>
      <c r="C16" s="7">
        <f>IF('Monthly inputs'!AQ16="OK",'Monthly inputs'!AM16&amp;IF('Monthly inputs'!AN16="","",CHAR(10)&amp;'Monthly inputs'!AN16),"")</f>
        <v/>
      </c>
      <c r="D16" s="8">
        <f>IF('Monthly inputs'!AQ16="OK",ROUND(IF('Monthly inputs'!D16="whole_month",'Monthly inputs'!E16*(1-(('Monthly inputs'!C16-'Monthly inputs'!B16+1)/DAY(DATE(YEAR('Monthly inputs'!B16),MONTH('Monthly inputs'!B16)+1,0))))+(IF(Setup!$B$5="manual",'Monthly inputs'!N16,IF(Setup!$B$5="increment",'Monthly inputs'!J16,'Monthly inputs'!E16)))*(('Monthly inputs'!C16-'Monthly inputs'!B16+1)/DAY(DATE(YEAR('Monthly inputs'!B16),MONTH('Monthly inputs'!B16)+1,0))),(IF(Setup!$B$5="manual",'Monthly inputs'!N16,IF(Setup!$B$5="increment",'Monthly inputs'!J16,'Monthly inputs'!E16)))*(('Monthly inputs'!C16-'Monthly inputs'!B16+1)/DAY(DATE(YEAR('Monthly inputs'!B16),MONTH('Monthly inputs'!B16)+1,0)))),IF(Setup!$B$6="rupee",0,2)),"")</f>
        <v/>
      </c>
      <c r="E16" s="8">
        <f>IF('Monthly inputs'!AQ16="OK",ROUND(IF('Monthly inputs'!D16="whole_month",'Monthly inputs'!F16*(1-(('Monthly inputs'!C16-'Monthly inputs'!B16+1)/DAY(DATE(YEAR('Monthly inputs'!B16),MONTH('Monthly inputs'!B16)+1,0))))+(IF(Setup!$B$5="manual",'Monthly inputs'!O16,IF(OR(Setup!$B$5="increment",Setup!$B$5="da"),(IF(Setup!$B$5="increment",'Monthly inputs'!J16,'Monthly inputs'!E16))*'Monthly inputs'!K16/100,'Monthly inputs'!F16)))*(('Monthly inputs'!C16-'Monthly inputs'!B16+1)/DAY(DATE(YEAR('Monthly inputs'!B16),MONTH('Monthly inputs'!B16)+1,0))),(IF(Setup!$B$5="manual",'Monthly inputs'!O16,IF(OR(Setup!$B$5="increment",Setup!$B$5="da"),(IF(Setup!$B$5="increment",'Monthly inputs'!J16,'Monthly inputs'!E16))*'Monthly inputs'!K16/100,'Monthly inputs'!F16)))*(('Monthly inputs'!C16-'Monthly inputs'!B16+1)/DAY(DATE(YEAR('Monthly inputs'!B16),MONTH('Monthly inputs'!B16)+1,0)))),IF(Setup!$B$6="rupee",0,2)),"")</f>
        <v/>
      </c>
      <c r="F16" s="8">
        <f>IF('Monthly inputs'!AQ16="OK",ROUND(IF('Monthly inputs'!D16="whole_month",'Monthly inputs'!G16*(1-(('Monthly inputs'!C16-'Monthly inputs'!B16+1)/DAY(DATE(YEAR('Monthly inputs'!B16),MONTH('Monthly inputs'!B16)+1,0))))+(IF(Setup!$B$5="manual",'Monthly inputs'!P16,IF(OR(Setup!$B$5="increment",Setup!$B$5="hra"),(IF(Setup!$B$5="increment",'Monthly inputs'!J16,'Monthly inputs'!E16))*'Monthly inputs'!L16/100,'Monthly inputs'!G16)))*(('Monthly inputs'!C16-'Monthly inputs'!B16+1)/DAY(DATE(YEAR('Monthly inputs'!B16),MONTH('Monthly inputs'!B16)+1,0))),(IF(Setup!$B$5="manual",'Monthly inputs'!P16,IF(OR(Setup!$B$5="increment",Setup!$B$5="hra"),(IF(Setup!$B$5="increment",'Monthly inputs'!J16,'Monthly inputs'!E16))*'Monthly inputs'!L16/100,'Monthly inputs'!G16)))*(('Monthly inputs'!C16-'Monthly inputs'!B16+1)/DAY(DATE(YEAR('Monthly inputs'!B16),MONTH('Monthly inputs'!B16)+1,0)))),IF(Setup!$B$6="rupee",0,2)),"")</f>
        <v/>
      </c>
      <c r="G16" s="8">
        <f>IF('Monthly inputs'!AQ16="OK",ROUND(IF('Monthly inputs'!D16="whole_month",'Monthly inputs'!H16*(1-(('Monthly inputs'!C16-'Monthly inputs'!B16+1)/DAY(DATE(YEAR('Monthly inputs'!B16),MONTH('Monthly inputs'!B16)+1,0))))+(IF(Setup!$B$5="manual",'Monthly inputs'!Q16,IF(AND(OR(Setup!$B$5="increment",Setup!$B$5="da"),Setup!$B$8="Yes"),((IF(Setup!$B$5="increment",'Monthly inputs'!J16,'Monthly inputs'!E16))+((IF(Setup!$B$5="increment",'Monthly inputs'!J16,'Monthly inputs'!E16))*'Monthly inputs'!K16/100))/'Monthly inputs'!M16,'Monthly inputs'!H16)))*(('Monthly inputs'!C16-'Monthly inputs'!B16+1)/DAY(DATE(YEAR('Monthly inputs'!B16),MONTH('Monthly inputs'!B16)+1,0))),(IF(Setup!$B$5="manual",'Monthly inputs'!Q16,IF(AND(OR(Setup!$B$5="increment",Setup!$B$5="da"),Setup!$B$8="Yes"),((IF(Setup!$B$5="increment",'Monthly inputs'!J16,'Monthly inputs'!E16))+((IF(Setup!$B$5="increment",'Monthly inputs'!J16,'Monthly inputs'!E16))*'Monthly inputs'!K16/100))/'Monthly inputs'!M16,'Monthly inputs'!H16)))*(('Monthly inputs'!C16-'Monthly inputs'!B16+1)/DAY(DATE(YEAR('Monthly inputs'!B16),MONTH('Monthly inputs'!B16)+1,0)))),IF(Setup!$B$6="rupee",0,2)),"")</f>
        <v/>
      </c>
      <c r="H16" s="8">
        <f>IF('Monthly inputs'!AQ16="OK",ROUND(IF('Monthly inputs'!D16="whole_month",'Monthly inputs'!I16*(1-(('Monthly inputs'!C16-'Monthly inputs'!B16+1)/DAY(DATE(YEAR('Monthly inputs'!B16),MONTH('Monthly inputs'!B16)+1,0))))+(IF(Setup!$B$5="manual",'Monthly inputs'!R16,'Monthly inputs'!I16))*(('Monthly inputs'!C16-'Monthly inputs'!B16+1)/DAY(DATE(YEAR('Monthly inputs'!B16),MONTH('Monthly inputs'!B16)+1,0))),(IF(Setup!$B$5="manual",'Monthly inputs'!R16,'Monthly inputs'!I16))*(('Monthly inputs'!C16-'Monthly inputs'!B16+1)/DAY(DATE(YEAR('Monthly inputs'!B16),MONTH('Monthly inputs'!B16)+1,0)))),IF(Setup!$B$6="rupee",0,2)),"")</f>
        <v/>
      </c>
      <c r="I16" s="8">
        <f>IF('Monthly inputs'!AQ16="OK",SUM(D16:H16),"")</f>
        <v/>
      </c>
      <c r="J16" s="8">
        <f>IF('Monthly inputs'!AQ16="OK",IF('Monthly inputs'!D16="whole_month",'Monthly inputs'!E16,ROUND('Monthly inputs'!E16*(('Monthly inputs'!C16-'Monthly inputs'!B16+1)/DAY(DATE(YEAR('Monthly inputs'!B16),MONTH('Monthly inputs'!B16)+1,0))),IF(Setup!$B$6="rupee",0,2)))+'Monthly inputs'!S16,"")</f>
        <v/>
      </c>
      <c r="K16" s="8">
        <f>IF('Monthly inputs'!AQ16="OK",IF('Monthly inputs'!D16="whole_month",'Monthly inputs'!F16,ROUND('Monthly inputs'!F16*(('Monthly inputs'!C16-'Monthly inputs'!B16+1)/DAY(DATE(YEAR('Monthly inputs'!B16),MONTH('Monthly inputs'!B16)+1,0))),IF(Setup!$B$6="rupee",0,2)))+'Monthly inputs'!T16,"")</f>
        <v/>
      </c>
      <c r="L16" s="8">
        <f>IF('Monthly inputs'!AQ16="OK",IF('Monthly inputs'!D16="whole_month",'Monthly inputs'!G16,ROUND('Monthly inputs'!G16*(('Monthly inputs'!C16-'Monthly inputs'!B16+1)/DAY(DATE(YEAR('Monthly inputs'!B16),MONTH('Monthly inputs'!B16)+1,0))),IF(Setup!$B$6="rupee",0,2)))+'Monthly inputs'!U16,"")</f>
        <v/>
      </c>
      <c r="M16" s="8">
        <f>IF('Monthly inputs'!AQ16="OK",IF('Monthly inputs'!D16="whole_month",'Monthly inputs'!H16,ROUND('Monthly inputs'!H16*(('Monthly inputs'!C16-'Monthly inputs'!B16+1)/DAY(DATE(YEAR('Monthly inputs'!B16),MONTH('Monthly inputs'!B16)+1,0))),IF(Setup!$B$6="rupee",0,2)))+'Monthly inputs'!V16,"")</f>
        <v/>
      </c>
      <c r="N16" s="8">
        <f>IF('Monthly inputs'!AQ16="OK",IF('Monthly inputs'!D16="whole_month",'Monthly inputs'!I16,ROUND('Monthly inputs'!I16*(('Monthly inputs'!C16-'Monthly inputs'!B16+1)/DAY(DATE(YEAR('Monthly inputs'!B16),MONTH('Monthly inputs'!B16)+1,0))),IF(Setup!$B$6="rupee",0,2)))+'Monthly inputs'!W16,"")</f>
        <v/>
      </c>
      <c r="O16" s="8">
        <f>IF('Monthly inputs'!AQ16="OK",SUM(J16:N16),"")</f>
        <v/>
      </c>
      <c r="P16" s="8">
        <f>IF('Monthly inputs'!AQ16="OK",D16-J16,"")</f>
        <v/>
      </c>
      <c r="Q16" s="8">
        <f>IF('Monthly inputs'!AQ16="OK",E16-K16,"")</f>
        <v/>
      </c>
      <c r="R16" s="8">
        <f>IF('Monthly inputs'!AQ16="OK",F16-L16,"")</f>
        <v/>
      </c>
      <c r="S16" s="8">
        <f>IF('Monthly inputs'!AQ16="OK",G16-M16,"")</f>
        <v/>
      </c>
      <c r="T16" s="8">
        <f>IF('Monthly inputs'!AQ16="OK",H16-N16,"")</f>
        <v/>
      </c>
      <c r="U16" s="8">
        <f>IF('Monthly inputs'!AQ16="OK",SUM(P16:T16),"")</f>
        <v/>
      </c>
      <c r="V16" s="8">
        <f>IF('Monthly inputs'!AQ16="OK",IF(Setup!$B$7="jodhpur_classic",'Monthly inputs'!X16,'Monthly inputs'!AB16),"")</f>
        <v/>
      </c>
      <c r="W16" s="8">
        <f>IF('Monthly inputs'!AQ16="OK",IF(Setup!$B$7="jodhpur_classic",'Monthly inputs'!Y16,'Monthly inputs'!AC16),"")</f>
        <v/>
      </c>
      <c r="X16" s="8">
        <f>IF('Monthly inputs'!AQ16="OK",IF(Setup!$B$7="jodhpur_classic",'Monthly inputs'!Z16,'Monthly inputs'!AD16),"")</f>
        <v/>
      </c>
      <c r="Y16" s="8">
        <f>IF('Monthly inputs'!AQ16="OK",IF(Setup!$B$7="jodhpur_classic",'Monthly inputs'!AA16,'Monthly inputs'!AA16),"")</f>
        <v/>
      </c>
      <c r="Z16" s="8">
        <f>IF('Monthly inputs'!AQ16="OK",IF(Setup!$B$7="jodhpur_classic",SUM(V16:Y16),V16+Y16),"")</f>
        <v/>
      </c>
      <c r="AA16" s="8">
        <f>IF('Monthly inputs'!AQ16="OK",U16-Z16,"")</f>
        <v/>
      </c>
    </row>
    <row r="17" ht="24" customHeight="1">
      <c r="A17" s="7">
        <f>IF('Monthly inputs'!AQ17="OK",IF(AND(DAY('Monthly inputs'!B17)=1,DAY('Monthly inputs'!C17)=DAY(DATE(YEAR('Monthly inputs'!C17),MONTH('Monthly inputs'!C17)+1,0))),'Monthly inputs'!A17,TEXT('Monthly inputs'!B17,"dd/mm/yyyy")&amp;CHAR(10)&amp;TEXT('Monthly inputs'!C17,"dd/mm/yyyy")),"")</f>
        <v/>
      </c>
      <c r="B17" s="7">
        <f>IF('Monthly inputs'!AQ17="OK",'Monthly inputs'!AK17&amp;IF('Monthly inputs'!AL17="","",CHAR(10)&amp;'Monthly inputs'!AL17),"")</f>
        <v/>
      </c>
      <c r="C17" s="7">
        <f>IF('Monthly inputs'!AQ17="OK",'Monthly inputs'!AM17&amp;IF('Monthly inputs'!AN17="","",CHAR(10)&amp;'Monthly inputs'!AN17),"")</f>
        <v/>
      </c>
      <c r="D17" s="8">
        <f>IF('Monthly inputs'!AQ17="OK",ROUND(IF('Monthly inputs'!D17="whole_month",'Monthly inputs'!E17*(1-(('Monthly inputs'!C17-'Monthly inputs'!B17+1)/DAY(DATE(YEAR('Monthly inputs'!B17),MONTH('Monthly inputs'!B17)+1,0))))+(IF(Setup!$B$5="manual",'Monthly inputs'!N17,IF(Setup!$B$5="increment",'Monthly inputs'!J17,'Monthly inputs'!E17)))*(('Monthly inputs'!C17-'Monthly inputs'!B17+1)/DAY(DATE(YEAR('Monthly inputs'!B17),MONTH('Monthly inputs'!B17)+1,0))),(IF(Setup!$B$5="manual",'Monthly inputs'!N17,IF(Setup!$B$5="increment",'Monthly inputs'!J17,'Monthly inputs'!E17)))*(('Monthly inputs'!C17-'Monthly inputs'!B17+1)/DAY(DATE(YEAR('Monthly inputs'!B17),MONTH('Monthly inputs'!B17)+1,0)))),IF(Setup!$B$6="rupee",0,2)),"")</f>
        <v/>
      </c>
      <c r="E17" s="8">
        <f>IF('Monthly inputs'!AQ17="OK",ROUND(IF('Monthly inputs'!D17="whole_month",'Monthly inputs'!F17*(1-(('Monthly inputs'!C17-'Monthly inputs'!B17+1)/DAY(DATE(YEAR('Monthly inputs'!B17),MONTH('Monthly inputs'!B17)+1,0))))+(IF(Setup!$B$5="manual",'Monthly inputs'!O17,IF(OR(Setup!$B$5="increment",Setup!$B$5="da"),(IF(Setup!$B$5="increment",'Monthly inputs'!J17,'Monthly inputs'!E17))*'Monthly inputs'!K17/100,'Monthly inputs'!F17)))*(('Monthly inputs'!C17-'Monthly inputs'!B17+1)/DAY(DATE(YEAR('Monthly inputs'!B17),MONTH('Monthly inputs'!B17)+1,0))),(IF(Setup!$B$5="manual",'Monthly inputs'!O17,IF(OR(Setup!$B$5="increment",Setup!$B$5="da"),(IF(Setup!$B$5="increment",'Monthly inputs'!J17,'Monthly inputs'!E17))*'Monthly inputs'!K17/100,'Monthly inputs'!F17)))*(('Monthly inputs'!C17-'Monthly inputs'!B17+1)/DAY(DATE(YEAR('Monthly inputs'!B17),MONTH('Monthly inputs'!B17)+1,0)))),IF(Setup!$B$6="rupee",0,2)),"")</f>
        <v/>
      </c>
      <c r="F17" s="8">
        <f>IF('Monthly inputs'!AQ17="OK",ROUND(IF('Monthly inputs'!D17="whole_month",'Monthly inputs'!G17*(1-(('Monthly inputs'!C17-'Monthly inputs'!B17+1)/DAY(DATE(YEAR('Monthly inputs'!B17),MONTH('Monthly inputs'!B17)+1,0))))+(IF(Setup!$B$5="manual",'Monthly inputs'!P17,IF(OR(Setup!$B$5="increment",Setup!$B$5="hra"),(IF(Setup!$B$5="increment",'Monthly inputs'!J17,'Monthly inputs'!E17))*'Monthly inputs'!L17/100,'Monthly inputs'!G17)))*(('Monthly inputs'!C17-'Monthly inputs'!B17+1)/DAY(DATE(YEAR('Monthly inputs'!B17),MONTH('Monthly inputs'!B17)+1,0))),(IF(Setup!$B$5="manual",'Monthly inputs'!P17,IF(OR(Setup!$B$5="increment",Setup!$B$5="hra"),(IF(Setup!$B$5="increment",'Monthly inputs'!J17,'Monthly inputs'!E17))*'Monthly inputs'!L17/100,'Monthly inputs'!G17)))*(('Monthly inputs'!C17-'Monthly inputs'!B17+1)/DAY(DATE(YEAR('Monthly inputs'!B17),MONTH('Monthly inputs'!B17)+1,0)))),IF(Setup!$B$6="rupee",0,2)),"")</f>
        <v/>
      </c>
      <c r="G17" s="8">
        <f>IF('Monthly inputs'!AQ17="OK",ROUND(IF('Monthly inputs'!D17="whole_month",'Monthly inputs'!H17*(1-(('Monthly inputs'!C17-'Monthly inputs'!B17+1)/DAY(DATE(YEAR('Monthly inputs'!B17),MONTH('Monthly inputs'!B17)+1,0))))+(IF(Setup!$B$5="manual",'Monthly inputs'!Q17,IF(AND(OR(Setup!$B$5="increment",Setup!$B$5="da"),Setup!$B$8="Yes"),((IF(Setup!$B$5="increment",'Monthly inputs'!J17,'Monthly inputs'!E17))+((IF(Setup!$B$5="increment",'Monthly inputs'!J17,'Monthly inputs'!E17))*'Monthly inputs'!K17/100))/'Monthly inputs'!M17,'Monthly inputs'!H17)))*(('Monthly inputs'!C17-'Monthly inputs'!B17+1)/DAY(DATE(YEAR('Monthly inputs'!B17),MONTH('Monthly inputs'!B17)+1,0))),(IF(Setup!$B$5="manual",'Monthly inputs'!Q17,IF(AND(OR(Setup!$B$5="increment",Setup!$B$5="da"),Setup!$B$8="Yes"),((IF(Setup!$B$5="increment",'Monthly inputs'!J17,'Monthly inputs'!E17))+((IF(Setup!$B$5="increment",'Monthly inputs'!J17,'Monthly inputs'!E17))*'Monthly inputs'!K17/100))/'Monthly inputs'!M17,'Monthly inputs'!H17)))*(('Monthly inputs'!C17-'Monthly inputs'!B17+1)/DAY(DATE(YEAR('Monthly inputs'!B17),MONTH('Monthly inputs'!B17)+1,0)))),IF(Setup!$B$6="rupee",0,2)),"")</f>
        <v/>
      </c>
      <c r="H17" s="8">
        <f>IF('Monthly inputs'!AQ17="OK",ROUND(IF('Monthly inputs'!D17="whole_month",'Monthly inputs'!I17*(1-(('Monthly inputs'!C17-'Monthly inputs'!B17+1)/DAY(DATE(YEAR('Monthly inputs'!B17),MONTH('Monthly inputs'!B17)+1,0))))+(IF(Setup!$B$5="manual",'Monthly inputs'!R17,'Monthly inputs'!I17))*(('Monthly inputs'!C17-'Monthly inputs'!B17+1)/DAY(DATE(YEAR('Monthly inputs'!B17),MONTH('Monthly inputs'!B17)+1,0))),(IF(Setup!$B$5="manual",'Monthly inputs'!R17,'Monthly inputs'!I17))*(('Monthly inputs'!C17-'Monthly inputs'!B17+1)/DAY(DATE(YEAR('Monthly inputs'!B17),MONTH('Monthly inputs'!B17)+1,0)))),IF(Setup!$B$6="rupee",0,2)),"")</f>
        <v/>
      </c>
      <c r="I17" s="8">
        <f>IF('Monthly inputs'!AQ17="OK",SUM(D17:H17),"")</f>
        <v/>
      </c>
      <c r="J17" s="8">
        <f>IF('Monthly inputs'!AQ17="OK",IF('Monthly inputs'!D17="whole_month",'Monthly inputs'!E17,ROUND('Monthly inputs'!E17*(('Monthly inputs'!C17-'Monthly inputs'!B17+1)/DAY(DATE(YEAR('Monthly inputs'!B17),MONTH('Monthly inputs'!B17)+1,0))),IF(Setup!$B$6="rupee",0,2)))+'Monthly inputs'!S17,"")</f>
        <v/>
      </c>
      <c r="K17" s="8">
        <f>IF('Monthly inputs'!AQ17="OK",IF('Monthly inputs'!D17="whole_month",'Monthly inputs'!F17,ROUND('Monthly inputs'!F17*(('Monthly inputs'!C17-'Monthly inputs'!B17+1)/DAY(DATE(YEAR('Monthly inputs'!B17),MONTH('Monthly inputs'!B17)+1,0))),IF(Setup!$B$6="rupee",0,2)))+'Monthly inputs'!T17,"")</f>
        <v/>
      </c>
      <c r="L17" s="8">
        <f>IF('Monthly inputs'!AQ17="OK",IF('Monthly inputs'!D17="whole_month",'Monthly inputs'!G17,ROUND('Monthly inputs'!G17*(('Monthly inputs'!C17-'Monthly inputs'!B17+1)/DAY(DATE(YEAR('Monthly inputs'!B17),MONTH('Monthly inputs'!B17)+1,0))),IF(Setup!$B$6="rupee",0,2)))+'Monthly inputs'!U17,"")</f>
        <v/>
      </c>
      <c r="M17" s="8">
        <f>IF('Monthly inputs'!AQ17="OK",IF('Monthly inputs'!D17="whole_month",'Monthly inputs'!H17,ROUND('Monthly inputs'!H17*(('Monthly inputs'!C17-'Monthly inputs'!B17+1)/DAY(DATE(YEAR('Monthly inputs'!B17),MONTH('Monthly inputs'!B17)+1,0))),IF(Setup!$B$6="rupee",0,2)))+'Monthly inputs'!V17,"")</f>
        <v/>
      </c>
      <c r="N17" s="8">
        <f>IF('Monthly inputs'!AQ17="OK",IF('Monthly inputs'!D17="whole_month",'Monthly inputs'!I17,ROUND('Monthly inputs'!I17*(('Monthly inputs'!C17-'Monthly inputs'!B17+1)/DAY(DATE(YEAR('Monthly inputs'!B17),MONTH('Monthly inputs'!B17)+1,0))),IF(Setup!$B$6="rupee",0,2)))+'Monthly inputs'!W17,"")</f>
        <v/>
      </c>
      <c r="O17" s="8">
        <f>IF('Monthly inputs'!AQ17="OK",SUM(J17:N17),"")</f>
        <v/>
      </c>
      <c r="P17" s="8">
        <f>IF('Monthly inputs'!AQ17="OK",D17-J17,"")</f>
        <v/>
      </c>
      <c r="Q17" s="8">
        <f>IF('Monthly inputs'!AQ17="OK",E17-K17,"")</f>
        <v/>
      </c>
      <c r="R17" s="8">
        <f>IF('Monthly inputs'!AQ17="OK",F17-L17,"")</f>
        <v/>
      </c>
      <c r="S17" s="8">
        <f>IF('Monthly inputs'!AQ17="OK",G17-M17,"")</f>
        <v/>
      </c>
      <c r="T17" s="8">
        <f>IF('Monthly inputs'!AQ17="OK",H17-N17,"")</f>
        <v/>
      </c>
      <c r="U17" s="8">
        <f>IF('Monthly inputs'!AQ17="OK",SUM(P17:T17),"")</f>
        <v/>
      </c>
      <c r="V17" s="8">
        <f>IF('Monthly inputs'!AQ17="OK",IF(Setup!$B$7="jodhpur_classic",'Monthly inputs'!X17,'Monthly inputs'!AB17),"")</f>
        <v/>
      </c>
      <c r="W17" s="8">
        <f>IF('Monthly inputs'!AQ17="OK",IF(Setup!$B$7="jodhpur_classic",'Monthly inputs'!Y17,'Monthly inputs'!AC17),"")</f>
        <v/>
      </c>
      <c r="X17" s="8">
        <f>IF('Monthly inputs'!AQ17="OK",IF(Setup!$B$7="jodhpur_classic",'Monthly inputs'!Z17,'Monthly inputs'!AD17),"")</f>
        <v/>
      </c>
      <c r="Y17" s="8">
        <f>IF('Monthly inputs'!AQ17="OK",IF(Setup!$B$7="jodhpur_classic",'Monthly inputs'!AA17,'Monthly inputs'!AA17),"")</f>
        <v/>
      </c>
      <c r="Z17" s="8">
        <f>IF('Monthly inputs'!AQ17="OK",IF(Setup!$B$7="jodhpur_classic",SUM(V17:Y17),V17+Y17),"")</f>
        <v/>
      </c>
      <c r="AA17" s="8">
        <f>IF('Monthly inputs'!AQ17="OK",U17-Z17,"")</f>
        <v/>
      </c>
    </row>
    <row r="18" ht="24" customHeight="1">
      <c r="A18" s="7" t="inlineStr"/>
      <c r="B18" s="7" t="inlineStr">
        <is>
          <t>TOTAL</t>
        </is>
      </c>
      <c r="C18" s="7" t="inlineStr"/>
      <c r="D18" s="8">
        <f>IF(AND(COUNTIF('Monthly inputs'!AQ6:AQ17,"INCOMPLETE")=0,COUNTIF('Monthly inputs'!AQ6:AQ17,"OK")&gt;0),SUM(D6:D17),"")</f>
        <v/>
      </c>
      <c r="E18" s="8">
        <f>IF(AND(COUNTIF('Monthly inputs'!AQ6:AQ17,"INCOMPLETE")=0,COUNTIF('Monthly inputs'!AQ6:AQ17,"OK")&gt;0),SUM(E6:E17),"")</f>
        <v/>
      </c>
      <c r="F18" s="8">
        <f>IF(AND(COUNTIF('Monthly inputs'!AQ6:AQ17,"INCOMPLETE")=0,COUNTIF('Monthly inputs'!AQ6:AQ17,"OK")&gt;0),SUM(F6:F17),"")</f>
        <v/>
      </c>
      <c r="G18" s="8">
        <f>IF(AND(COUNTIF('Monthly inputs'!AQ6:AQ17,"INCOMPLETE")=0,COUNTIF('Monthly inputs'!AQ6:AQ17,"OK")&gt;0),SUM(G6:G17),"")</f>
        <v/>
      </c>
      <c r="H18" s="8">
        <f>IF(AND(COUNTIF('Monthly inputs'!AQ6:AQ17,"INCOMPLETE")=0,COUNTIF('Monthly inputs'!AQ6:AQ17,"OK")&gt;0),SUM(H6:H17),"")</f>
        <v/>
      </c>
      <c r="I18" s="8">
        <f>IF(AND(COUNTIF('Monthly inputs'!AQ6:AQ17,"INCOMPLETE")=0,COUNTIF('Monthly inputs'!AQ6:AQ17,"OK")&gt;0),SUM(I6:I17),"")</f>
        <v/>
      </c>
      <c r="J18" s="8">
        <f>IF(AND(COUNTIF('Monthly inputs'!AQ6:AQ17,"INCOMPLETE")=0,COUNTIF('Monthly inputs'!AQ6:AQ17,"OK")&gt;0),SUM(J6:J17),"")</f>
        <v/>
      </c>
      <c r="K18" s="8">
        <f>IF(AND(COUNTIF('Monthly inputs'!AQ6:AQ17,"INCOMPLETE")=0,COUNTIF('Monthly inputs'!AQ6:AQ17,"OK")&gt;0),SUM(K6:K17),"")</f>
        <v/>
      </c>
      <c r="L18" s="8">
        <f>IF(AND(COUNTIF('Monthly inputs'!AQ6:AQ17,"INCOMPLETE")=0,COUNTIF('Monthly inputs'!AQ6:AQ17,"OK")&gt;0),SUM(L6:L17),"")</f>
        <v/>
      </c>
      <c r="M18" s="8">
        <f>IF(AND(COUNTIF('Monthly inputs'!AQ6:AQ17,"INCOMPLETE")=0,COUNTIF('Monthly inputs'!AQ6:AQ17,"OK")&gt;0),SUM(M6:M17),"")</f>
        <v/>
      </c>
      <c r="N18" s="8">
        <f>IF(AND(COUNTIF('Monthly inputs'!AQ6:AQ17,"INCOMPLETE")=0,COUNTIF('Monthly inputs'!AQ6:AQ17,"OK")&gt;0),SUM(N6:N17),"")</f>
        <v/>
      </c>
      <c r="O18" s="8">
        <f>IF(AND(COUNTIF('Monthly inputs'!AQ6:AQ17,"INCOMPLETE")=0,COUNTIF('Monthly inputs'!AQ6:AQ17,"OK")&gt;0),SUM(O6:O17),"")</f>
        <v/>
      </c>
      <c r="P18" s="8">
        <f>IF(AND(COUNTIF('Monthly inputs'!AQ6:AQ17,"INCOMPLETE")=0,COUNTIF('Monthly inputs'!AQ6:AQ17,"OK")&gt;0),SUM(P6:P17),"")</f>
        <v/>
      </c>
      <c r="Q18" s="8">
        <f>IF(AND(COUNTIF('Monthly inputs'!AQ6:AQ17,"INCOMPLETE")=0,COUNTIF('Monthly inputs'!AQ6:AQ17,"OK")&gt;0),SUM(Q6:Q17),"")</f>
        <v/>
      </c>
      <c r="R18" s="8">
        <f>IF(AND(COUNTIF('Monthly inputs'!AQ6:AQ17,"INCOMPLETE")=0,COUNTIF('Monthly inputs'!AQ6:AQ17,"OK")&gt;0),SUM(R6:R17),"")</f>
        <v/>
      </c>
      <c r="S18" s="8">
        <f>IF(AND(COUNTIF('Monthly inputs'!AQ6:AQ17,"INCOMPLETE")=0,COUNTIF('Monthly inputs'!AQ6:AQ17,"OK")&gt;0),SUM(S6:S17),"")</f>
        <v/>
      </c>
      <c r="T18" s="8">
        <f>IF(AND(COUNTIF('Monthly inputs'!AQ6:AQ17,"INCOMPLETE")=0,COUNTIF('Monthly inputs'!AQ6:AQ17,"OK")&gt;0),SUM(T6:T17),"")</f>
        <v/>
      </c>
      <c r="U18" s="8">
        <f>IF(AND(COUNTIF('Monthly inputs'!AQ6:AQ17,"INCOMPLETE")=0,COUNTIF('Monthly inputs'!AQ6:AQ17,"OK")&gt;0),SUM(U6:U17),"")</f>
        <v/>
      </c>
      <c r="V18" s="8">
        <f>IF(AND(COUNTIF('Monthly inputs'!AQ6:AQ17,"INCOMPLETE")=0,COUNTIF('Monthly inputs'!AQ6:AQ17,"OK")&gt;0),SUM(V6:V17),"")</f>
        <v/>
      </c>
      <c r="W18" s="8">
        <f>IF(AND(COUNTIF('Monthly inputs'!AQ6:AQ17,"INCOMPLETE")=0,COUNTIF('Monthly inputs'!AQ6:AQ17,"OK")&gt;0),SUM(W6:W17),"")</f>
        <v/>
      </c>
      <c r="X18" s="8">
        <f>IF(AND(COUNTIF('Monthly inputs'!AQ6:AQ17,"INCOMPLETE")=0,COUNTIF('Monthly inputs'!AQ6:AQ17,"OK")&gt;0),SUM(X6:X17),"")</f>
        <v/>
      </c>
      <c r="Y18" s="8">
        <f>IF(AND(COUNTIF('Monthly inputs'!AQ6:AQ17,"INCOMPLETE")=0,COUNTIF('Monthly inputs'!AQ6:AQ17,"OK")&gt;0),SUM(Y6:Y17),"")</f>
        <v/>
      </c>
      <c r="Z18" s="8">
        <f>IF(AND(COUNTIF('Monthly inputs'!AQ6:AQ17,"INCOMPLETE")=0,COUNTIF('Monthly inputs'!AQ6:AQ17,"OK")&gt;0),SUM(Z6:Z17),"")</f>
        <v/>
      </c>
      <c r="AA18" s="8">
        <f>IF(AND(COUNTIF('Monthly inputs'!AQ6:AQ17,"INCOMPLETE")=0,COUNTIF('Monthly inputs'!AQ6:AQ17,"OK")&gt;0),SUM(AA6:AA17),"")</f>
        <v/>
      </c>
    </row>
    <row r="19" ht="24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 ht="24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 ht="24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 ht="24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 ht="24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10" t="inlineStr">
        <is>
          <t>Assistant Accounts Officer-II</t>
        </is>
      </c>
      <c r="J23" s="4" t="n"/>
      <c r="K23" s="4" t="n"/>
      <c r="L23" s="4" t="n"/>
      <c r="M23" s="4" t="n"/>
      <c r="N23" s="5" t="n"/>
      <c r="O23" s="9" t="n"/>
      <c r="P23" s="9" t="n"/>
      <c r="Q23" s="9" t="n"/>
      <c r="R23" s="9" t="n"/>
      <c r="S23" s="10" t="inlineStr">
        <is>
          <t>Forwarding Officer</t>
        </is>
      </c>
      <c r="T23" s="4" t="n"/>
      <c r="U23" s="4" t="n"/>
      <c r="V23" s="4" t="n"/>
      <c r="W23" s="4" t="n"/>
      <c r="X23" s="4" t="n"/>
      <c r="Y23" s="4" t="n"/>
      <c r="Z23" s="5" t="n"/>
      <c r="AA23" s="9" t="n"/>
    </row>
    <row r="24" ht="24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 ht="24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 ht="24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 t="inlineStr">
        <is>
          <t>Drawing and Disbursing Officer</t>
        </is>
      </c>
      <c r="P26" s="4" t="n"/>
      <c r="Q26" s="4" t="n"/>
      <c r="R26" s="4" t="n"/>
      <c r="S26" s="4" t="n"/>
      <c r="T26" s="4" t="n"/>
      <c r="U26" s="4" t="n"/>
      <c r="V26" s="4" t="n"/>
      <c r="W26" s="5" t="n"/>
      <c r="X26" s="9" t="n"/>
      <c r="Y26" s="9" t="n"/>
      <c r="Z26" s="9" t="n"/>
      <c r="AA26" s="9" t="n"/>
    </row>
  </sheetData>
  <mergeCells count="18">
    <mergeCell ref="B4:B5"/>
    <mergeCell ref="A2:O2"/>
    <mergeCell ref="C4:C5"/>
    <mergeCell ref="D4:I4"/>
    <mergeCell ref="A4:A5"/>
    <mergeCell ref="V4:V5"/>
    <mergeCell ref="W4:W5"/>
    <mergeCell ref="P2:AA2"/>
    <mergeCell ref="X4:X5"/>
    <mergeCell ref="Y4:Y5"/>
    <mergeCell ref="Z4:Z5"/>
    <mergeCell ref="AA4:AA5"/>
    <mergeCell ref="I23:N23"/>
    <mergeCell ref="O26:W26"/>
    <mergeCell ref="S23:Z23"/>
    <mergeCell ref="J4:O4"/>
    <mergeCell ref="A1:AA1"/>
    <mergeCell ref="P4:U4"/>
  </mergeCells>
  <pageMargins left="0.25" right="0.25" top="0.25" bottom="0.25" header="0" footer="0"/>
  <pageSetup orientation="landscape" paperSize="8" fitToHeight="0" fitToWidth="1"/>
  <headerFooter>
    <oddHeader/>
    <oddFooter>&amp;CDRAFT — CHECK INPUT STATUS BEFORE SIGNING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28" customHeight="1">
      <c r="A1" s="16" t="inlineStr">
        <is>
          <t>QUICK START</t>
        </is>
      </c>
    </row>
    <row r="2" ht="28" customHeight="1">
      <c r="A2" s="16" t="inlineStr">
        <is>
          <t>1. In Setup enter employee, claim type, rupee/paise rounding and the supplied form variant.</t>
        </is>
      </c>
    </row>
    <row r="3" ht="48" customHeight="1">
      <c r="A3" s="16" t="inlineStr">
        <is>
          <t>2. In Monthly inputs enter dates and actual full-month drawn Basic, DA, HRA, HDA and CCA. Enter 0 explicitly for a confirmed absent head.</t>
        </is>
      </c>
    </row>
    <row r="4" ht="48" customHeight="1">
      <c r="A4" s="16" t="inlineStr">
        <is>
          <t>3. Enter revised basic / sanctioned DA and HRA percentages required by the claim type. HDA uses (Basic + unrounded DA) / the explicitly approved divisor only when Include HDA is Yes.</t>
        </is>
      </c>
    </row>
    <row r="5" ht="48" customHeight="1">
      <c r="A5" s="16" t="inlineStr">
        <is>
          <t>4. Manual mode accepts five explicit full-month due amounts. It can represent reviewed blended rates within a month; do not put guessed values in it.</t>
        </is>
      </c>
    </row>
    <row r="6" ht="48" customHeight="1">
      <c r="A6" s="16" t="inlineStr">
        <is>
          <t>5. Enter earlier payments by head and the month they cover. Enter zeros only after checking there is no additional payment. Do not enter a payment twice if already included in Drawn.</t>
        </is>
      </c>
    </row>
    <row r="7" ht="48" customHeight="1">
      <c r="A7" s="16" t="inlineStr">
        <is>
          <t>6. Enter only ADDITIONAL deductions from this arrear, not the entire salary deductions. Already-deducted GPF and SIF in the newer form are disclosures, not additional subtraction.</t>
        </is>
      </c>
    </row>
    <row r="8" ht="48" customHeight="1">
      <c r="A8" s="16" t="inlineStr">
        <is>
          <t>7. Add all four references, set both checks to Yes, and ensure every INPUT CHECK is OK. The statement then displays the calculated amounts and totals.</t>
        </is>
      </c>
    </row>
    <row r="9" ht="48" customHeight="1">
      <c r="A9" s="16" t="inlineStr">
        <is>
          <t>8. Import this workbook back into Excel Arrear Maker for independent recalculation, saved revisions and PDF. Statement formulas/cached results are ignored on import; input cells must contain literal values.</t>
        </is>
      </c>
    </row>
    <row r="10" ht="48" customHeight="1">
      <c r="A10" s="16" t="inlineStr">
        <is>
          <t>For fewer months, clear all editable inputs in unused trailing rows. Keep the formula rows and columns in place. Use the app to generate a different date range or rebuild the form.</t>
        </is>
      </c>
    </row>
    <row r="11" ht="28" customHeight="1">
      <c r="A11" s="16" t="inlineStr">
        <is>
          <t>DATES AND ROUNDING</t>
        </is>
      </c>
    </row>
    <row r="12" ht="48" customHeight="1">
      <c r="A12" s="16" t="inlineStr">
        <is>
          <t>Dates include both endpoints. Calendar month length is used, including leap February. Each due/drawn head is rounded separately after proration; monthly differences are then added.</t>
        </is>
      </c>
    </row>
    <row r="13" ht="48" customHeight="1">
      <c r="A13" s="16" t="inlineStr">
        <is>
          <t>period: show only the selected days. whole_month: retain original drawn pay for unaffected days and show a full monthly drawn salary. Prior payments and extra deductions are exact allocated amounts and never prorated again.</t>
        </is>
      </c>
    </row>
    <row r="14" ht="28" customHeight="1">
      <c r="A14" s="16" t="inlineStr">
        <is>
          <t>LIMITS</t>
        </is>
      </c>
    </row>
    <row r="15" ht="48" customHeight="1">
      <c r="A15" s="16" t="inlineStr">
        <is>
          <t>One effective segment per month, up to 120 months, five printed salary heads. Unchanged Mess/FTA or other heads are excluded from this selected-head form, not treated as new arrears. Rates and entitlement are human-reviewed inputs, not automatically certified rules.</t>
        </is>
      </c>
    </row>
    <row r="16" ht="48" customHeight="1">
      <c r="A16" s="16" t="inlineStr">
        <is>
          <t>The workbook does not authorize payment. Keep the source documents and have the office verify and sign its draft. Handwriting OCR is optional transcription and still requires review.</t>
        </is>
      </c>
    </row>
    <row r="17" ht="48" customHeight="1">
      <c r="A17" s="16" t="inlineStr">
        <is>
          <t>Saved-ledger link columns are hidden. If you intentionally change drawn values from a saved record, use the app's manual-values action to detach the link and record the correction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2026-10-28T18:24:38Z</dcterms:created>
  <dcterms:modified xsi:type="dcterms:W3CDTF">2026-10-28T18:24:38Z</dcterms:modified>
</cp:coreProperties>
</file>